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Users/David/Desktop/"/>
    </mc:Choice>
  </mc:AlternateContent>
  <xr:revisionPtr revIDLastSave="0" documentId="8_{8B5ADD6B-D3AC-4650-87C5-C95E1B11B550}" xr6:coauthVersionLast="47" xr6:coauthVersionMax="47" xr10:uidLastSave="{00000000-0000-0000-0000-000000000000}"/>
  <bookViews>
    <workbookView xWindow="0" yWindow="500" windowWidth="16380" windowHeight="8200" tabRatio="500" firstSheet="2" activeTab="1" xr2:uid="{00000000-000D-0000-FFFF-FFFF00000000}"/>
  </bookViews>
  <sheets>
    <sheet name="📊 Dashboard" sheetId="1" r:id="rId1"/>
    <sheet name="🖨 Meeting" sheetId="2" r:id="rId2"/>
    <sheet name="📝 Roster" sheetId="3" r:id="rId3"/>
    <sheet name="🛏 HP Bed Board" sheetId="4" r:id="rId4"/>
    <sheet name="🛏 HPE Bed Board" sheetId="5" r:id="rId5"/>
    <sheet name="🔥 Pipeline" sheetId="6" r:id="rId6"/>
    <sheet name="📋 May 2026" sheetId="7" state="hidden" r:id="rId7"/>
    <sheet name="📋 Jun 2026" sheetId="8" r:id="rId8"/>
    <sheet name="🏆 Leaderboard" sheetId="9" r:id="rId9"/>
    <sheet name="🔎 Insights" sheetId="10" state="hidden" r:id="rId10"/>
    <sheet name="📖 Instructions" sheetId="11" state="hidden" r:id="rId11"/>
    <sheet name="🛏 Bed Map" sheetId="12" state="hidden" r:id="rId12"/>
    <sheet name="📈 YTD Rollup" sheetId="13" state="hidden" r:id="rId13"/>
    <sheet name="📋 Insurance &amp; Rates" sheetId="14" state="hidden" r:id="rId14"/>
    <sheet name="📅 Schedule" sheetId="15" state="hidden" r:id="rId15"/>
    <sheet name="📱 Mobile View" sheetId="16" state="hidden" r:id="rId16"/>
    <sheet name="⚙ Lists" sheetId="17" state="hidden" r:id="rId17"/>
    <sheet name="📋 Jul 2026" sheetId="18" state="hidden" r:id="rId18"/>
    <sheet name="📋 Aug 2026" sheetId="19" state="hidden" r:id="rId19"/>
    <sheet name="📋 Sep 2026" sheetId="20" state="hidden" r:id="rId20"/>
    <sheet name="📋 Oct 2026" sheetId="21" state="hidden" r:id="rId21"/>
    <sheet name="📋 Nov 2026" sheetId="22" state="hidden" r:id="rId22"/>
    <sheet name="📋 Dec 2026" sheetId="23" state="hidden" r:id="rId23"/>
    <sheet name="⚙ Census Engine" sheetId="24" state="hidden" r:id="rId24"/>
    <sheet name="⚙ Pipeline Engine" sheetId="25" state="hidden" r:id="rId25"/>
    <sheet name="📊 Referral Analytics" sheetId="26" state="hidden" r:id="rId26"/>
    <sheet name="📊 Insurance Analytics" sheetId="27" state="hidden" r:id="rId27"/>
    <sheet name="⚙ Production Engine" sheetId="28" state="hidden" r:id="rId28"/>
  </sheets>
  <definedNames>
    <definedName name="_xlnm._FilterDatabase" localSheetId="5" hidden="1">'🔥 Pipeline'!$A$4:$J$26</definedName>
    <definedName name="_xlnm._FilterDatabase" localSheetId="3" hidden="1">'🛏 HP Bed Board'!$A$9:$O$23</definedName>
    <definedName name="_xlnm._FilterDatabase" localSheetId="4" hidden="1">'🛏 HPE Bed Board'!$A$9:$O$21</definedName>
    <definedName name="ACTIVE_REPS">'⚙ Lists'!$M$3:$M$6</definedName>
    <definedName name="ALL_BEDS">'⚙ Lists'!$Y$3:$Y$28</definedName>
    <definedName name="CLOSERS">'⚙ Lists'!$S$3:$S$5</definedName>
    <definedName name="DO_NOT_READMIT">'⚙ Lists'!$N$4:$N$8</definedName>
    <definedName name="FACILITY">'⚙ Lists'!$D$3:$D$6</definedName>
    <definedName name="HP_ROOMS">'⚙ Lists'!$T$3:$T$16</definedName>
    <definedName name="HPE_ROOMS">'⚙ Lists'!$U$3:$U$14</definedName>
    <definedName name="INS_TYPE">'⚙ Lists'!$F$3:$F$11</definedName>
    <definedName name="INSURANCE_OK">'⚙ Lists'!$E$3:$E$16</definedName>
    <definedName name="LOC">'⚙ Lists'!$C$3:$C$8</definedName>
    <definedName name="MONTHS">'⚙ Lists'!$W$3:$W$10</definedName>
    <definedName name="NON_CONTRACTED">'⚙ Lists'!$L$3:$L$17</definedName>
    <definedName name="PLAN_LOS">'⚙ Lists'!$V$3:$V$11</definedName>
    <definedName name="_xlnm.Print_Area" localSheetId="8">'🏆 Leaderboard'!$A$1:$H$23</definedName>
    <definedName name="_xlnm.Print_Area" localSheetId="10">'📖 Instructions'!$A$1:$B$33</definedName>
    <definedName name="_xlnm.Print_Area" localSheetId="9">'🔎 Insights'!$A$1:$E$34</definedName>
    <definedName name="_xlnm.Print_Area" localSheetId="5">'🔥 Pipeline'!$A$1:$K$22</definedName>
    <definedName name="_xlnm.Print_Area" localSheetId="1">'🖨 Meeting'!$A$1:$J$40</definedName>
    <definedName name="_xlnm.Print_Area" localSheetId="3">'🛏 HP Bed Board'!$A$1:$Q$34</definedName>
    <definedName name="_xlnm.Print_Area" localSheetId="4">'🛏 HPE Bed Board'!$A$1:$Q$32</definedName>
    <definedName name="_xlnm.Print_Titles" localSheetId="5">'🔥 Pipeline'!$1:$4</definedName>
    <definedName name="REF_CAT">'⚙ Lists'!$G$3:$G$11</definedName>
    <definedName name="REPS">'⚙ Lists'!$A$3:$A$8</definedName>
    <definedName name="STATUS">'⚙ Lists'!$B$3:$B$8</definedName>
    <definedName name="TEMP">'⚙ Lists'!$H$3:$H$5</definedName>
    <definedName name="YESNO">'⚙ Lists'!$I$3:$I$4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7" i="3" l="1"/>
  <c r="P17" i="3" s="1"/>
  <c r="J43" i="28"/>
  <c r="I43" i="28"/>
  <c r="D43" i="28"/>
  <c r="C43" i="28"/>
  <c r="J42" i="28"/>
  <c r="I42" i="28"/>
  <c r="D42" i="28"/>
  <c r="C42" i="28"/>
  <c r="J41" i="28"/>
  <c r="I41" i="28"/>
  <c r="D41" i="28"/>
  <c r="C41" i="28"/>
  <c r="J40" i="28"/>
  <c r="I40" i="28"/>
  <c r="D40" i="28"/>
  <c r="C40" i="28"/>
  <c r="J39" i="28"/>
  <c r="I39" i="28"/>
  <c r="D39" i="28"/>
  <c r="C39" i="28"/>
  <c r="J38" i="28"/>
  <c r="I38" i="28"/>
  <c r="D38" i="28"/>
  <c r="C38" i="28"/>
  <c r="J37" i="28"/>
  <c r="I37" i="28"/>
  <c r="D37" i="28"/>
  <c r="C37" i="28"/>
  <c r="J36" i="28"/>
  <c r="I36" i="28"/>
  <c r="D36" i="28"/>
  <c r="C36" i="28"/>
  <c r="J35" i="28"/>
  <c r="I35" i="28"/>
  <c r="D35" i="28"/>
  <c r="C35" i="28"/>
  <c r="J34" i="28"/>
  <c r="I34" i="28"/>
  <c r="D34" i="28"/>
  <c r="C34" i="28"/>
  <c r="J33" i="28"/>
  <c r="I33" i="28"/>
  <c r="D33" i="28"/>
  <c r="C33" i="28"/>
  <c r="J32" i="28"/>
  <c r="I32" i="28"/>
  <c r="D32" i="28"/>
  <c r="C32" i="28"/>
  <c r="J31" i="28"/>
  <c r="I31" i="28"/>
  <c r="D31" i="28"/>
  <c r="C31" i="28"/>
  <c r="J30" i="28"/>
  <c r="I30" i="28"/>
  <c r="D30" i="28"/>
  <c r="C30" i="28"/>
  <c r="J29" i="28"/>
  <c r="I29" i="28"/>
  <c r="D29" i="28"/>
  <c r="C29" i="28"/>
  <c r="J28" i="28"/>
  <c r="I28" i="28"/>
  <c r="D28" i="28"/>
  <c r="C28" i="28"/>
  <c r="J27" i="28"/>
  <c r="I27" i="28"/>
  <c r="D27" i="28"/>
  <c r="C27" i="28"/>
  <c r="J26" i="28"/>
  <c r="I26" i="28"/>
  <c r="D26" i="28"/>
  <c r="C26" i="28"/>
  <c r="J25" i="28"/>
  <c r="I25" i="28"/>
  <c r="D25" i="28"/>
  <c r="C25" i="28"/>
  <c r="J24" i="28"/>
  <c r="I24" i="28"/>
  <c r="D24" i="28"/>
  <c r="C24" i="28"/>
  <c r="J23" i="28"/>
  <c r="I23" i="28"/>
  <c r="D23" i="28"/>
  <c r="C23" i="28"/>
  <c r="J22" i="28"/>
  <c r="I22" i="28"/>
  <c r="D22" i="28"/>
  <c r="C22" i="28"/>
  <c r="J21" i="28"/>
  <c r="I21" i="28"/>
  <c r="D21" i="28"/>
  <c r="C21" i="28"/>
  <c r="J20" i="28"/>
  <c r="I20" i="28"/>
  <c r="D20" i="28"/>
  <c r="C20" i="28"/>
  <c r="J19" i="28"/>
  <c r="I19" i="28"/>
  <c r="D19" i="28"/>
  <c r="C19" i="28"/>
  <c r="J18" i="28"/>
  <c r="I18" i="28"/>
  <c r="D18" i="28"/>
  <c r="C18" i="28"/>
  <c r="J17" i="28"/>
  <c r="I17" i="28"/>
  <c r="D17" i="28"/>
  <c r="C17" i="28"/>
  <c r="J16" i="28"/>
  <c r="I16" i="28"/>
  <c r="D16" i="28"/>
  <c r="C16" i="28"/>
  <c r="J15" i="28"/>
  <c r="I15" i="28"/>
  <c r="D15" i="28"/>
  <c r="C15" i="28"/>
  <c r="J14" i="28"/>
  <c r="I14" i="28"/>
  <c r="D14" i="28"/>
  <c r="C14" i="28"/>
  <c r="J13" i="28"/>
  <c r="I13" i="28"/>
  <c r="D13" i="28"/>
  <c r="C13" i="28"/>
  <c r="J12" i="28"/>
  <c r="I12" i="28"/>
  <c r="D12" i="28"/>
  <c r="C12" i="28"/>
  <c r="J11" i="28"/>
  <c r="I11" i="28"/>
  <c r="D11" i="28"/>
  <c r="C11" i="28"/>
  <c r="J10" i="28"/>
  <c r="I10" i="28"/>
  <c r="D10" i="28"/>
  <c r="C10" i="28"/>
  <c r="J9" i="28"/>
  <c r="I9" i="28"/>
  <c r="D9" i="28"/>
  <c r="C9" i="28"/>
  <c r="J8" i="28"/>
  <c r="I8" i="28"/>
  <c r="D8" i="28"/>
  <c r="C8" i="28"/>
  <c r="I7" i="28"/>
  <c r="D7" i="28"/>
  <c r="C7" i="28"/>
  <c r="I6" i="28"/>
  <c r="D6" i="28"/>
  <c r="C6" i="28"/>
  <c r="I5" i="28"/>
  <c r="D5" i="28"/>
  <c r="C5" i="28"/>
  <c r="I4" i="28"/>
  <c r="D4" i="28"/>
  <c r="C4" i="28"/>
  <c r="C14" i="27"/>
  <c r="B14" i="27"/>
  <c r="D14" i="27" s="1"/>
  <c r="C13" i="27"/>
  <c r="B13" i="27"/>
  <c r="D13" i="27" s="1"/>
  <c r="D12" i="27"/>
  <c r="C12" i="27"/>
  <c r="B12" i="27"/>
  <c r="C11" i="27"/>
  <c r="B11" i="27"/>
  <c r="D11" i="27" s="1"/>
  <c r="D10" i="27"/>
  <c r="C10" i="27"/>
  <c r="B10" i="27"/>
  <c r="D9" i="27"/>
  <c r="C9" i="27"/>
  <c r="B9" i="27"/>
  <c r="C8" i="27"/>
  <c r="B8" i="27"/>
  <c r="D8" i="27" s="1"/>
  <c r="D7" i="27"/>
  <c r="C7" i="27"/>
  <c r="B7" i="27"/>
  <c r="C6" i="27"/>
  <c r="B6" i="27"/>
  <c r="D6" i="27" s="1"/>
  <c r="D5" i="27"/>
  <c r="C5" i="27"/>
  <c r="C15" i="27" s="1"/>
  <c r="B5" i="27"/>
  <c r="D15" i="27" s="1"/>
  <c r="C12" i="26"/>
  <c r="B12" i="26"/>
  <c r="D12" i="26" s="1"/>
  <c r="D11" i="26"/>
  <c r="C11" i="26"/>
  <c r="B11" i="26"/>
  <c r="C10" i="26"/>
  <c r="B10" i="26"/>
  <c r="D9" i="26"/>
  <c r="C9" i="26"/>
  <c r="B9" i="26"/>
  <c r="D8" i="26"/>
  <c r="C8" i="26"/>
  <c r="B8" i="26"/>
  <c r="C7" i="26"/>
  <c r="B7" i="26"/>
  <c r="D7" i="26" s="1"/>
  <c r="D6" i="26"/>
  <c r="C6" i="26"/>
  <c r="C13" i="26" s="1"/>
  <c r="B6" i="26"/>
  <c r="C5" i="26"/>
  <c r="B5" i="26"/>
  <c r="D5" i="26" s="1"/>
  <c r="AD40" i="25"/>
  <c r="AC40" i="25"/>
  <c r="AB40" i="25"/>
  <c r="AD39" i="25"/>
  <c r="AC39" i="25"/>
  <c r="AB39" i="25"/>
  <c r="AD38" i="25"/>
  <c r="AC38" i="25"/>
  <c r="AB38" i="25"/>
  <c r="AD37" i="25"/>
  <c r="AC37" i="25"/>
  <c r="AB37" i="25"/>
  <c r="AD36" i="25"/>
  <c r="AC36" i="25"/>
  <c r="AB36" i="25"/>
  <c r="AD35" i="25"/>
  <c r="AC35" i="25"/>
  <c r="AB35" i="25"/>
  <c r="AD34" i="25"/>
  <c r="AC34" i="25"/>
  <c r="AB34" i="25"/>
  <c r="AD33" i="25"/>
  <c r="AC33" i="25"/>
  <c r="AB33" i="25"/>
  <c r="AD32" i="25"/>
  <c r="AC32" i="25"/>
  <c r="AB32" i="25"/>
  <c r="AD31" i="25"/>
  <c r="AC31" i="25"/>
  <c r="AB31" i="25"/>
  <c r="AD30" i="25"/>
  <c r="AC30" i="25"/>
  <c r="AB30" i="25"/>
  <c r="AD29" i="25"/>
  <c r="AC29" i="25"/>
  <c r="AB29" i="25"/>
  <c r="AD28" i="25"/>
  <c r="AC28" i="25"/>
  <c r="AB28" i="25"/>
  <c r="AD27" i="25"/>
  <c r="AC27" i="25"/>
  <c r="AB27" i="25"/>
  <c r="AD26" i="25"/>
  <c r="AC26" i="25"/>
  <c r="AB26" i="25"/>
  <c r="AD25" i="25"/>
  <c r="AC25" i="25"/>
  <c r="AB25" i="25"/>
  <c r="AD24" i="25"/>
  <c r="AC24" i="25"/>
  <c r="AB24" i="25"/>
  <c r="AD23" i="25"/>
  <c r="AC23" i="25"/>
  <c r="AB23" i="25"/>
  <c r="AD22" i="25"/>
  <c r="AC22" i="25"/>
  <c r="AB22" i="25"/>
  <c r="AD21" i="25"/>
  <c r="AC21" i="25"/>
  <c r="AB21" i="25"/>
  <c r="AD20" i="25"/>
  <c r="AC20" i="25"/>
  <c r="AB20" i="25"/>
  <c r="AD19" i="25"/>
  <c r="AC19" i="25"/>
  <c r="AB19" i="25"/>
  <c r="AD18" i="25"/>
  <c r="AC18" i="25"/>
  <c r="AB18" i="25"/>
  <c r="AD17" i="25"/>
  <c r="AC17" i="25"/>
  <c r="AB17" i="25"/>
  <c r="AD16" i="25"/>
  <c r="AC16" i="25"/>
  <c r="AB16" i="25"/>
  <c r="AD15" i="25"/>
  <c r="AC15" i="25"/>
  <c r="AB15" i="25"/>
  <c r="AD14" i="25"/>
  <c r="AC14" i="25"/>
  <c r="AB14" i="25"/>
  <c r="AD13" i="25"/>
  <c r="AC13" i="25"/>
  <c r="AB13" i="25"/>
  <c r="AD12" i="25"/>
  <c r="AC12" i="25"/>
  <c r="B34" i="4" s="1"/>
  <c r="AB12" i="25"/>
  <c r="AD11" i="25"/>
  <c r="AC11" i="25"/>
  <c r="AB11" i="25"/>
  <c r="AD10" i="25"/>
  <c r="AC10" i="25"/>
  <c r="AB10" i="25"/>
  <c r="AD9" i="25"/>
  <c r="AC9" i="25"/>
  <c r="AB9" i="25"/>
  <c r="AD8" i="25"/>
  <c r="AC8" i="25"/>
  <c r="AB8" i="25"/>
  <c r="AD7" i="25"/>
  <c r="AC7" i="25"/>
  <c r="AB7" i="25"/>
  <c r="AD6" i="25"/>
  <c r="AC6" i="25"/>
  <c r="AB6" i="25"/>
  <c r="AD5" i="25"/>
  <c r="AC5" i="25"/>
  <c r="AB5" i="25"/>
  <c r="V60" i="23"/>
  <c r="E60" i="23"/>
  <c r="V59" i="23"/>
  <c r="E59" i="23"/>
  <c r="V58" i="23"/>
  <c r="E58" i="23"/>
  <c r="V57" i="23"/>
  <c r="E57" i="23"/>
  <c r="V56" i="23"/>
  <c r="E56" i="23"/>
  <c r="V55" i="23"/>
  <c r="E55" i="23"/>
  <c r="V54" i="23"/>
  <c r="E54" i="23"/>
  <c r="V53" i="23"/>
  <c r="E53" i="23"/>
  <c r="V52" i="23"/>
  <c r="E52" i="23"/>
  <c r="V51" i="23"/>
  <c r="E51" i="23"/>
  <c r="V50" i="23"/>
  <c r="E50" i="23"/>
  <c r="V49" i="23"/>
  <c r="E49" i="23"/>
  <c r="V48" i="23"/>
  <c r="E48" i="23"/>
  <c r="V47" i="23"/>
  <c r="E47" i="23"/>
  <c r="V46" i="23"/>
  <c r="E46" i="23"/>
  <c r="V45" i="23"/>
  <c r="E45" i="23"/>
  <c r="V44" i="23"/>
  <c r="E44" i="23"/>
  <c r="V43" i="23"/>
  <c r="E43" i="23"/>
  <c r="V42" i="23"/>
  <c r="E42" i="23"/>
  <c r="V41" i="23"/>
  <c r="E41" i="23"/>
  <c r="V40" i="23"/>
  <c r="E40" i="23"/>
  <c r="V39" i="23"/>
  <c r="E39" i="23"/>
  <c r="V38" i="23"/>
  <c r="E38" i="23"/>
  <c r="V37" i="23"/>
  <c r="E37" i="23"/>
  <c r="V36" i="23"/>
  <c r="E36" i="23"/>
  <c r="V35" i="23"/>
  <c r="E35" i="23"/>
  <c r="V34" i="23"/>
  <c r="E34" i="23"/>
  <c r="V33" i="23"/>
  <c r="E33" i="23"/>
  <c r="V32" i="23"/>
  <c r="E32" i="23"/>
  <c r="V31" i="23"/>
  <c r="E31" i="23"/>
  <c r="V30" i="23"/>
  <c r="E30" i="23"/>
  <c r="V29" i="23"/>
  <c r="E29" i="23"/>
  <c r="V28" i="23"/>
  <c r="E28" i="23"/>
  <c r="V27" i="23"/>
  <c r="E27" i="23"/>
  <c r="V26" i="23"/>
  <c r="E26" i="23"/>
  <c r="V25" i="23"/>
  <c r="E25" i="23"/>
  <c r="V24" i="23"/>
  <c r="E24" i="23"/>
  <c r="V23" i="23"/>
  <c r="E23" i="23"/>
  <c r="V22" i="23"/>
  <c r="E22" i="23"/>
  <c r="V21" i="23"/>
  <c r="E21" i="23"/>
  <c r="V20" i="23"/>
  <c r="E20" i="23"/>
  <c r="V19" i="23"/>
  <c r="E19" i="23"/>
  <c r="V18" i="23"/>
  <c r="E18" i="23"/>
  <c r="V17" i="23"/>
  <c r="E17" i="23"/>
  <c r="V16" i="23"/>
  <c r="E16" i="23"/>
  <c r="V15" i="23"/>
  <c r="E15" i="23"/>
  <c r="V14" i="23"/>
  <c r="E14" i="23"/>
  <c r="V13" i="23"/>
  <c r="E13" i="23"/>
  <c r="V12" i="23"/>
  <c r="E12" i="23"/>
  <c r="V11" i="23"/>
  <c r="E11" i="23"/>
  <c r="V10" i="23"/>
  <c r="E10" i="23"/>
  <c r="V9" i="23"/>
  <c r="E9" i="23"/>
  <c r="V8" i="23"/>
  <c r="E8" i="23"/>
  <c r="V7" i="23"/>
  <c r="E7" i="23"/>
  <c r="V6" i="23"/>
  <c r="E6" i="23"/>
  <c r="V5" i="23"/>
  <c r="E5" i="23"/>
  <c r="A2" i="23"/>
  <c r="V60" i="22"/>
  <c r="E60" i="22"/>
  <c r="V59" i="22"/>
  <c r="E59" i="22"/>
  <c r="V58" i="22"/>
  <c r="E58" i="22"/>
  <c r="V57" i="22"/>
  <c r="E57" i="22"/>
  <c r="V56" i="22"/>
  <c r="E56" i="22"/>
  <c r="V55" i="22"/>
  <c r="E55" i="22"/>
  <c r="V54" i="22"/>
  <c r="E54" i="22"/>
  <c r="V53" i="22"/>
  <c r="E53" i="22"/>
  <c r="V52" i="22"/>
  <c r="E52" i="22"/>
  <c r="V51" i="22"/>
  <c r="E51" i="22"/>
  <c r="V50" i="22"/>
  <c r="E50" i="22"/>
  <c r="V49" i="22"/>
  <c r="E49" i="22"/>
  <c r="V48" i="22"/>
  <c r="E48" i="22"/>
  <c r="V47" i="22"/>
  <c r="E47" i="22"/>
  <c r="V46" i="22"/>
  <c r="E46" i="22"/>
  <c r="V45" i="22"/>
  <c r="E45" i="22"/>
  <c r="V44" i="22"/>
  <c r="E44" i="22"/>
  <c r="V43" i="22"/>
  <c r="E43" i="22"/>
  <c r="V42" i="22"/>
  <c r="E42" i="22"/>
  <c r="V41" i="22"/>
  <c r="E41" i="22"/>
  <c r="V40" i="22"/>
  <c r="E40" i="22"/>
  <c r="V39" i="22"/>
  <c r="E39" i="22"/>
  <c r="V38" i="22"/>
  <c r="E38" i="22"/>
  <c r="V37" i="22"/>
  <c r="E37" i="22"/>
  <c r="V36" i="22"/>
  <c r="E36" i="22"/>
  <c r="V35" i="22"/>
  <c r="E35" i="22"/>
  <c r="V34" i="22"/>
  <c r="E34" i="22"/>
  <c r="V33" i="22"/>
  <c r="E33" i="22"/>
  <c r="V32" i="22"/>
  <c r="E32" i="22"/>
  <c r="V31" i="22"/>
  <c r="E31" i="22"/>
  <c r="V30" i="22"/>
  <c r="E30" i="22"/>
  <c r="V29" i="22"/>
  <c r="E29" i="22"/>
  <c r="V28" i="22"/>
  <c r="E28" i="22"/>
  <c r="V27" i="22"/>
  <c r="E27" i="22"/>
  <c r="V26" i="22"/>
  <c r="E26" i="22"/>
  <c r="V25" i="22"/>
  <c r="E25" i="22"/>
  <c r="V24" i="22"/>
  <c r="E24" i="22"/>
  <c r="V23" i="22"/>
  <c r="E23" i="22"/>
  <c r="V22" i="22"/>
  <c r="E22" i="22"/>
  <c r="V21" i="22"/>
  <c r="E21" i="22"/>
  <c r="V20" i="22"/>
  <c r="E20" i="22"/>
  <c r="V19" i="22"/>
  <c r="E19" i="22"/>
  <c r="V18" i="22"/>
  <c r="E18" i="22"/>
  <c r="V17" i="22"/>
  <c r="E17" i="22"/>
  <c r="V16" i="22"/>
  <c r="E16" i="22"/>
  <c r="V15" i="22"/>
  <c r="E15" i="22"/>
  <c r="V14" i="22"/>
  <c r="E14" i="22"/>
  <c r="V13" i="22"/>
  <c r="E13" i="22"/>
  <c r="V12" i="22"/>
  <c r="E12" i="22"/>
  <c r="V11" i="22"/>
  <c r="E11" i="22"/>
  <c r="V10" i="22"/>
  <c r="E10" i="22"/>
  <c r="V9" i="22"/>
  <c r="E9" i="22"/>
  <c r="V8" i="22"/>
  <c r="E8" i="22"/>
  <c r="V7" i="22"/>
  <c r="E7" i="22"/>
  <c r="V6" i="22"/>
  <c r="E6" i="22"/>
  <c r="V5" i="22"/>
  <c r="E5" i="22"/>
  <c r="A2" i="22"/>
  <c r="V60" i="21"/>
  <c r="E60" i="21"/>
  <c r="V59" i="21"/>
  <c r="E59" i="21"/>
  <c r="V58" i="21"/>
  <c r="E58" i="21"/>
  <c r="V57" i="21"/>
  <c r="E57" i="21"/>
  <c r="V56" i="21"/>
  <c r="E56" i="21"/>
  <c r="V55" i="21"/>
  <c r="E55" i="21"/>
  <c r="V54" i="21"/>
  <c r="E54" i="21"/>
  <c r="V53" i="21"/>
  <c r="E53" i="21"/>
  <c r="V52" i="21"/>
  <c r="E52" i="21"/>
  <c r="V51" i="21"/>
  <c r="E51" i="21"/>
  <c r="V50" i="21"/>
  <c r="E50" i="21"/>
  <c r="V49" i="21"/>
  <c r="E49" i="21"/>
  <c r="V48" i="21"/>
  <c r="E48" i="21"/>
  <c r="V47" i="21"/>
  <c r="E47" i="21"/>
  <c r="V46" i="21"/>
  <c r="E46" i="21"/>
  <c r="V45" i="21"/>
  <c r="E45" i="21"/>
  <c r="V44" i="21"/>
  <c r="E44" i="21"/>
  <c r="V43" i="21"/>
  <c r="E43" i="21"/>
  <c r="V42" i="21"/>
  <c r="E42" i="21"/>
  <c r="V41" i="21"/>
  <c r="E41" i="21"/>
  <c r="V40" i="21"/>
  <c r="E40" i="21"/>
  <c r="V39" i="21"/>
  <c r="E39" i="21"/>
  <c r="V38" i="21"/>
  <c r="E38" i="21"/>
  <c r="V37" i="21"/>
  <c r="E37" i="21"/>
  <c r="V36" i="21"/>
  <c r="E36" i="21"/>
  <c r="V35" i="21"/>
  <c r="E35" i="21"/>
  <c r="V34" i="21"/>
  <c r="E34" i="21"/>
  <c r="V33" i="21"/>
  <c r="E33" i="21"/>
  <c r="V32" i="21"/>
  <c r="E32" i="21"/>
  <c r="V31" i="21"/>
  <c r="E31" i="21"/>
  <c r="V30" i="21"/>
  <c r="E30" i="21"/>
  <c r="V29" i="21"/>
  <c r="E29" i="21"/>
  <c r="V28" i="21"/>
  <c r="E28" i="21"/>
  <c r="V27" i="21"/>
  <c r="E27" i="21"/>
  <c r="V26" i="21"/>
  <c r="E26" i="21"/>
  <c r="V25" i="21"/>
  <c r="E25" i="21"/>
  <c r="V24" i="21"/>
  <c r="E24" i="21"/>
  <c r="V23" i="21"/>
  <c r="E23" i="21"/>
  <c r="V22" i="21"/>
  <c r="E22" i="21"/>
  <c r="V21" i="21"/>
  <c r="E21" i="21"/>
  <c r="V20" i="21"/>
  <c r="E20" i="21"/>
  <c r="V19" i="21"/>
  <c r="E19" i="21"/>
  <c r="V18" i="21"/>
  <c r="E18" i="21"/>
  <c r="V17" i="21"/>
  <c r="E17" i="21"/>
  <c r="V16" i="21"/>
  <c r="E16" i="21"/>
  <c r="V15" i="21"/>
  <c r="E15" i="21"/>
  <c r="V14" i="21"/>
  <c r="E14" i="21"/>
  <c r="V13" i="21"/>
  <c r="E13" i="21"/>
  <c r="V12" i="21"/>
  <c r="E12" i="21"/>
  <c r="V11" i="21"/>
  <c r="E11" i="21"/>
  <c r="V10" i="21"/>
  <c r="E10" i="21"/>
  <c r="V9" i="21"/>
  <c r="E9" i="21"/>
  <c r="V8" i="21"/>
  <c r="E8" i="21"/>
  <c r="V7" i="21"/>
  <c r="E7" i="21"/>
  <c r="V6" i="21"/>
  <c r="E6" i="21"/>
  <c r="V5" i="21"/>
  <c r="E5" i="21"/>
  <c r="A2" i="21"/>
  <c r="V60" i="20"/>
  <c r="E60" i="20"/>
  <c r="V59" i="20"/>
  <c r="E59" i="20"/>
  <c r="V58" i="20"/>
  <c r="E58" i="20"/>
  <c r="V57" i="20"/>
  <c r="E57" i="20"/>
  <c r="V56" i="20"/>
  <c r="E56" i="20"/>
  <c r="V55" i="20"/>
  <c r="E55" i="20"/>
  <c r="V54" i="20"/>
  <c r="E54" i="20"/>
  <c r="V53" i="20"/>
  <c r="E53" i="20"/>
  <c r="V52" i="20"/>
  <c r="E52" i="20"/>
  <c r="V51" i="20"/>
  <c r="E51" i="20"/>
  <c r="V50" i="20"/>
  <c r="E50" i="20"/>
  <c r="V49" i="20"/>
  <c r="E49" i="20"/>
  <c r="V48" i="20"/>
  <c r="E48" i="20"/>
  <c r="V47" i="20"/>
  <c r="E47" i="20"/>
  <c r="V46" i="20"/>
  <c r="E46" i="20"/>
  <c r="V45" i="20"/>
  <c r="E45" i="20"/>
  <c r="V44" i="20"/>
  <c r="E44" i="20"/>
  <c r="V43" i="20"/>
  <c r="E43" i="20"/>
  <c r="V42" i="20"/>
  <c r="E42" i="20"/>
  <c r="V41" i="20"/>
  <c r="E41" i="20"/>
  <c r="V40" i="20"/>
  <c r="E40" i="20"/>
  <c r="V39" i="20"/>
  <c r="E39" i="20"/>
  <c r="V38" i="20"/>
  <c r="E38" i="20"/>
  <c r="V37" i="20"/>
  <c r="E37" i="20"/>
  <c r="V36" i="20"/>
  <c r="E36" i="20"/>
  <c r="V35" i="20"/>
  <c r="E35" i="20"/>
  <c r="V34" i="20"/>
  <c r="E34" i="20"/>
  <c r="V33" i="20"/>
  <c r="E33" i="20"/>
  <c r="V32" i="20"/>
  <c r="E32" i="20"/>
  <c r="V31" i="20"/>
  <c r="E31" i="20"/>
  <c r="V30" i="20"/>
  <c r="E30" i="20"/>
  <c r="V29" i="20"/>
  <c r="E29" i="20"/>
  <c r="V28" i="20"/>
  <c r="E28" i="20"/>
  <c r="V27" i="20"/>
  <c r="E27" i="20"/>
  <c r="V26" i="20"/>
  <c r="E26" i="20"/>
  <c r="V25" i="20"/>
  <c r="E25" i="20"/>
  <c r="V24" i="20"/>
  <c r="E24" i="20"/>
  <c r="V23" i="20"/>
  <c r="E23" i="20"/>
  <c r="V22" i="20"/>
  <c r="E22" i="20"/>
  <c r="V21" i="20"/>
  <c r="E21" i="20"/>
  <c r="V20" i="20"/>
  <c r="E20" i="20"/>
  <c r="V19" i="20"/>
  <c r="E19" i="20"/>
  <c r="V18" i="20"/>
  <c r="E18" i="20"/>
  <c r="V17" i="20"/>
  <c r="E17" i="20"/>
  <c r="V16" i="20"/>
  <c r="E16" i="20"/>
  <c r="V15" i="20"/>
  <c r="E15" i="20"/>
  <c r="V14" i="20"/>
  <c r="E14" i="20"/>
  <c r="V13" i="20"/>
  <c r="E13" i="20"/>
  <c r="V12" i="20"/>
  <c r="E12" i="20"/>
  <c r="V11" i="20"/>
  <c r="E11" i="20"/>
  <c r="V10" i="20"/>
  <c r="E10" i="20"/>
  <c r="V9" i="20"/>
  <c r="E9" i="20"/>
  <c r="V8" i="20"/>
  <c r="E8" i="20"/>
  <c r="V7" i="20"/>
  <c r="E7" i="20"/>
  <c r="V6" i="20"/>
  <c r="E6" i="20"/>
  <c r="V5" i="20"/>
  <c r="E5" i="20"/>
  <c r="A2" i="20"/>
  <c r="V60" i="19"/>
  <c r="E60" i="19"/>
  <c r="V59" i="19"/>
  <c r="E59" i="19"/>
  <c r="V58" i="19"/>
  <c r="E58" i="19"/>
  <c r="V57" i="19"/>
  <c r="E57" i="19"/>
  <c r="V56" i="19"/>
  <c r="E56" i="19"/>
  <c r="V55" i="19"/>
  <c r="E55" i="19"/>
  <c r="V54" i="19"/>
  <c r="E54" i="19"/>
  <c r="V53" i="19"/>
  <c r="E53" i="19"/>
  <c r="V52" i="19"/>
  <c r="E52" i="19"/>
  <c r="V51" i="19"/>
  <c r="E51" i="19"/>
  <c r="V50" i="19"/>
  <c r="E50" i="19"/>
  <c r="V49" i="19"/>
  <c r="E49" i="19"/>
  <c r="V48" i="19"/>
  <c r="E48" i="19"/>
  <c r="V47" i="19"/>
  <c r="E47" i="19"/>
  <c r="V46" i="19"/>
  <c r="E46" i="19"/>
  <c r="V45" i="19"/>
  <c r="E45" i="19"/>
  <c r="V44" i="19"/>
  <c r="E44" i="19"/>
  <c r="V43" i="19"/>
  <c r="E43" i="19"/>
  <c r="V42" i="19"/>
  <c r="E42" i="19"/>
  <c r="V41" i="19"/>
  <c r="E41" i="19"/>
  <c r="V40" i="19"/>
  <c r="E40" i="19"/>
  <c r="V39" i="19"/>
  <c r="E39" i="19"/>
  <c r="V38" i="19"/>
  <c r="E38" i="19"/>
  <c r="V37" i="19"/>
  <c r="E37" i="19"/>
  <c r="V36" i="19"/>
  <c r="E36" i="19"/>
  <c r="V35" i="19"/>
  <c r="E35" i="19"/>
  <c r="V34" i="19"/>
  <c r="E34" i="19"/>
  <c r="V33" i="19"/>
  <c r="E33" i="19"/>
  <c r="V32" i="19"/>
  <c r="E32" i="19"/>
  <c r="V31" i="19"/>
  <c r="E31" i="19"/>
  <c r="V30" i="19"/>
  <c r="E30" i="19"/>
  <c r="V29" i="19"/>
  <c r="E29" i="19"/>
  <c r="V28" i="19"/>
  <c r="E28" i="19"/>
  <c r="V27" i="19"/>
  <c r="E27" i="19"/>
  <c r="V26" i="19"/>
  <c r="E26" i="19"/>
  <c r="V25" i="19"/>
  <c r="E25" i="19"/>
  <c r="V24" i="19"/>
  <c r="E24" i="19"/>
  <c r="V23" i="19"/>
  <c r="E23" i="19"/>
  <c r="V22" i="19"/>
  <c r="E22" i="19"/>
  <c r="V21" i="19"/>
  <c r="E21" i="19"/>
  <c r="V20" i="19"/>
  <c r="E20" i="19"/>
  <c r="V19" i="19"/>
  <c r="E19" i="19"/>
  <c r="V18" i="19"/>
  <c r="E18" i="19"/>
  <c r="V17" i="19"/>
  <c r="E17" i="19"/>
  <c r="V16" i="19"/>
  <c r="E16" i="19"/>
  <c r="V15" i="19"/>
  <c r="E15" i="19"/>
  <c r="V14" i="19"/>
  <c r="E14" i="19"/>
  <c r="V13" i="19"/>
  <c r="E13" i="19"/>
  <c r="V12" i="19"/>
  <c r="E12" i="19"/>
  <c r="V11" i="19"/>
  <c r="E11" i="19"/>
  <c r="V10" i="19"/>
  <c r="E10" i="19"/>
  <c r="V9" i="19"/>
  <c r="E9" i="19"/>
  <c r="V8" i="19"/>
  <c r="E8" i="19"/>
  <c r="V7" i="19"/>
  <c r="E7" i="19"/>
  <c r="V6" i="19"/>
  <c r="E6" i="19"/>
  <c r="V5" i="19"/>
  <c r="E5" i="19"/>
  <c r="A2" i="19"/>
  <c r="V60" i="18"/>
  <c r="E60" i="18"/>
  <c r="V59" i="18"/>
  <c r="E59" i="18"/>
  <c r="V58" i="18"/>
  <c r="E58" i="18"/>
  <c r="V57" i="18"/>
  <c r="E57" i="18"/>
  <c r="V56" i="18"/>
  <c r="E56" i="18"/>
  <c r="V55" i="18"/>
  <c r="E55" i="18"/>
  <c r="V54" i="18"/>
  <c r="E54" i="18"/>
  <c r="V53" i="18"/>
  <c r="E53" i="18"/>
  <c r="V52" i="18"/>
  <c r="E52" i="18"/>
  <c r="V51" i="18"/>
  <c r="E51" i="18"/>
  <c r="V50" i="18"/>
  <c r="E50" i="18"/>
  <c r="V49" i="18"/>
  <c r="E49" i="18"/>
  <c r="V48" i="18"/>
  <c r="E48" i="18"/>
  <c r="V47" i="18"/>
  <c r="E47" i="18"/>
  <c r="V46" i="18"/>
  <c r="E46" i="18"/>
  <c r="V45" i="18"/>
  <c r="E45" i="18"/>
  <c r="V44" i="18"/>
  <c r="E44" i="18"/>
  <c r="V43" i="18"/>
  <c r="E43" i="18"/>
  <c r="V42" i="18"/>
  <c r="E42" i="18"/>
  <c r="V41" i="18"/>
  <c r="E41" i="18"/>
  <c r="V40" i="18"/>
  <c r="E40" i="18"/>
  <c r="V39" i="18"/>
  <c r="E39" i="18"/>
  <c r="V38" i="18"/>
  <c r="E38" i="18"/>
  <c r="V37" i="18"/>
  <c r="E37" i="18"/>
  <c r="V36" i="18"/>
  <c r="E36" i="18"/>
  <c r="V35" i="18"/>
  <c r="E35" i="18"/>
  <c r="V34" i="18"/>
  <c r="E34" i="18"/>
  <c r="V33" i="18"/>
  <c r="E33" i="18"/>
  <c r="V32" i="18"/>
  <c r="E32" i="18"/>
  <c r="V31" i="18"/>
  <c r="E31" i="18"/>
  <c r="V30" i="18"/>
  <c r="E30" i="18"/>
  <c r="V29" i="18"/>
  <c r="E29" i="18"/>
  <c r="V28" i="18"/>
  <c r="E28" i="18"/>
  <c r="V27" i="18"/>
  <c r="E27" i="18"/>
  <c r="V26" i="18"/>
  <c r="E26" i="18"/>
  <c r="V25" i="18"/>
  <c r="E25" i="18"/>
  <c r="V24" i="18"/>
  <c r="E24" i="18"/>
  <c r="V23" i="18"/>
  <c r="E23" i="18"/>
  <c r="V22" i="18"/>
  <c r="E22" i="18"/>
  <c r="V21" i="18"/>
  <c r="E21" i="18"/>
  <c r="V20" i="18"/>
  <c r="E20" i="18"/>
  <c r="V19" i="18"/>
  <c r="E19" i="18"/>
  <c r="V18" i="18"/>
  <c r="E18" i="18"/>
  <c r="V17" i="18"/>
  <c r="E17" i="18"/>
  <c r="V16" i="18"/>
  <c r="E16" i="18"/>
  <c r="V15" i="18"/>
  <c r="E15" i="18"/>
  <c r="V14" i="18"/>
  <c r="E14" i="18"/>
  <c r="V13" i="18"/>
  <c r="E13" i="18"/>
  <c r="V12" i="18"/>
  <c r="E12" i="18"/>
  <c r="V11" i="18"/>
  <c r="E11" i="18"/>
  <c r="V10" i="18"/>
  <c r="E10" i="18"/>
  <c r="V9" i="18"/>
  <c r="E9" i="18"/>
  <c r="V8" i="18"/>
  <c r="E8" i="18"/>
  <c r="V7" i="18"/>
  <c r="E7" i="18"/>
  <c r="V6" i="18"/>
  <c r="E6" i="18"/>
  <c r="V5" i="18"/>
  <c r="E5" i="18"/>
  <c r="A2" i="18"/>
  <c r="AB8" i="17"/>
  <c r="B2" i="9" s="1"/>
  <c r="D8" i="9" s="1"/>
  <c r="F8" i="9" s="1"/>
  <c r="AB3" i="17"/>
  <c r="D49" i="16"/>
  <c r="C49" i="16"/>
  <c r="B49" i="16"/>
  <c r="A49" i="16"/>
  <c r="D48" i="16"/>
  <c r="C48" i="16"/>
  <c r="B48" i="16"/>
  <c r="A48" i="16"/>
  <c r="D47" i="16"/>
  <c r="C47" i="16"/>
  <c r="B47" i="16"/>
  <c r="A47" i="16"/>
  <c r="D46" i="16"/>
  <c r="C46" i="16"/>
  <c r="B46" i="16"/>
  <c r="A46" i="16"/>
  <c r="D45" i="16"/>
  <c r="C45" i="16"/>
  <c r="B45" i="16"/>
  <c r="A45" i="16"/>
  <c r="D44" i="16"/>
  <c r="C44" i="16"/>
  <c r="B44" i="16"/>
  <c r="A44" i="16"/>
  <c r="D43" i="16"/>
  <c r="C43" i="16"/>
  <c r="B43" i="16"/>
  <c r="A43" i="16"/>
  <c r="D42" i="16"/>
  <c r="C42" i="16"/>
  <c r="B42" i="16"/>
  <c r="A42" i="16"/>
  <c r="D41" i="16"/>
  <c r="C41" i="16"/>
  <c r="B41" i="16"/>
  <c r="A41" i="16"/>
  <c r="D40" i="16"/>
  <c r="C40" i="16"/>
  <c r="B40" i="16"/>
  <c r="A40" i="16"/>
  <c r="D39" i="16"/>
  <c r="C39" i="16"/>
  <c r="B39" i="16"/>
  <c r="A39" i="16"/>
  <c r="A35" i="16"/>
  <c r="A34" i="16"/>
  <c r="A33" i="16"/>
  <c r="A32" i="16"/>
  <c r="A31" i="16"/>
  <c r="A30" i="16"/>
  <c r="A29" i="16"/>
  <c r="A28" i="16"/>
  <c r="A27" i="16"/>
  <c r="A26" i="16"/>
  <c r="A25" i="16"/>
  <c r="A24" i="16"/>
  <c r="A20" i="16"/>
  <c r="A19" i="16"/>
  <c r="A18" i="16"/>
  <c r="A17" i="16"/>
  <c r="A16" i="16"/>
  <c r="A15" i="16"/>
  <c r="A14" i="16"/>
  <c r="A13" i="16"/>
  <c r="A12" i="16"/>
  <c r="A11" i="16"/>
  <c r="A10" i="16"/>
  <c r="A9" i="16"/>
  <c r="A8" i="16"/>
  <c r="A7" i="16"/>
  <c r="I10" i="13"/>
  <c r="E10" i="13"/>
  <c r="D10" i="13"/>
  <c r="C10" i="13"/>
  <c r="B10" i="13"/>
  <c r="N9" i="13"/>
  <c r="B23" i="9" s="1"/>
  <c r="M9" i="13"/>
  <c r="L9" i="13"/>
  <c r="K9" i="13"/>
  <c r="J9" i="13"/>
  <c r="J10" i="13" s="1"/>
  <c r="I9" i="13"/>
  <c r="H9" i="13"/>
  <c r="G9" i="13"/>
  <c r="F9" i="13"/>
  <c r="M8" i="13"/>
  <c r="L8" i="13"/>
  <c r="K8" i="13"/>
  <c r="J8" i="13"/>
  <c r="I8" i="13"/>
  <c r="H8" i="13"/>
  <c r="G8" i="13"/>
  <c r="F8" i="13"/>
  <c r="N8" i="13" s="1"/>
  <c r="M7" i="13"/>
  <c r="L7" i="13"/>
  <c r="K7" i="13"/>
  <c r="J7" i="13"/>
  <c r="I7" i="13"/>
  <c r="H7" i="13"/>
  <c r="G7" i="13"/>
  <c r="F7" i="13"/>
  <c r="N7" i="13" s="1"/>
  <c r="B21" i="9" s="1"/>
  <c r="M6" i="13"/>
  <c r="L6" i="13"/>
  <c r="K6" i="13"/>
  <c r="K10" i="13" s="1"/>
  <c r="J6" i="13"/>
  <c r="I6" i="13"/>
  <c r="H6" i="13"/>
  <c r="G6" i="13"/>
  <c r="F6" i="13"/>
  <c r="F10" i="13" s="1"/>
  <c r="O5" i="13"/>
  <c r="N5" i="13"/>
  <c r="M5" i="13"/>
  <c r="L5" i="13"/>
  <c r="L10" i="13" s="1"/>
  <c r="K5" i="13"/>
  <c r="J5" i="13"/>
  <c r="I5" i="13"/>
  <c r="H5" i="13"/>
  <c r="H10" i="13" s="1"/>
  <c r="G5" i="13"/>
  <c r="G10" i="13" s="1"/>
  <c r="F5" i="13"/>
  <c r="A28" i="12"/>
  <c r="A27" i="12"/>
  <c r="A26" i="12"/>
  <c r="A25" i="12"/>
  <c r="A24" i="12"/>
  <c r="A23" i="12"/>
  <c r="A22" i="12"/>
  <c r="A21" i="12"/>
  <c r="A20" i="12"/>
  <c r="A19" i="12"/>
  <c r="A18" i="12"/>
  <c r="A17" i="12"/>
  <c r="B33" i="10"/>
  <c r="B29" i="10"/>
  <c r="B28" i="10"/>
  <c r="B27" i="10"/>
  <c r="B26" i="10"/>
  <c r="B25" i="10"/>
  <c r="B24" i="10"/>
  <c r="C7" i="10"/>
  <c r="H9" i="9"/>
  <c r="H8" i="9"/>
  <c r="V17" i="8"/>
  <c r="V16" i="8"/>
  <c r="V15" i="8"/>
  <c r="V14" i="8"/>
  <c r="V13" i="8"/>
  <c r="E13" i="8"/>
  <c r="V12" i="8"/>
  <c r="E12" i="8"/>
  <c r="V11" i="8"/>
  <c r="E11" i="8"/>
  <c r="V10" i="8"/>
  <c r="E10" i="8"/>
  <c r="V9" i="8"/>
  <c r="E9" i="8"/>
  <c r="V8" i="8"/>
  <c r="E8" i="8"/>
  <c r="V7" i="8"/>
  <c r="E7" i="8"/>
  <c r="V6" i="8"/>
  <c r="E6" i="8"/>
  <c r="V5" i="8"/>
  <c r="E5" i="8"/>
  <c r="A2" i="8"/>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V14" i="7"/>
  <c r="E14" i="7"/>
  <c r="V13" i="7"/>
  <c r="E13" i="7"/>
  <c r="V12" i="7"/>
  <c r="E12" i="7"/>
  <c r="V11" i="7"/>
  <c r="E11" i="7"/>
  <c r="V10" i="7"/>
  <c r="E10" i="7"/>
  <c r="V9" i="7"/>
  <c r="E9" i="7"/>
  <c r="V8" i="7"/>
  <c r="E8" i="7"/>
  <c r="V7" i="7"/>
  <c r="E7" i="7"/>
  <c r="V6" i="7"/>
  <c r="E6" i="7"/>
  <c r="V5" i="7"/>
  <c r="E5" i="7"/>
  <c r="A2" i="7"/>
  <c r="T40" i="6"/>
  <c r="T39" i="6"/>
  <c r="T38" i="6"/>
  <c r="T37" i="6"/>
  <c r="T36" i="6"/>
  <c r="T35" i="6"/>
  <c r="T34" i="6"/>
  <c r="T33" i="6"/>
  <c r="T32" i="6"/>
  <c r="T31" i="6"/>
  <c r="T30" i="6"/>
  <c r="T29" i="6"/>
  <c r="T28" i="6"/>
  <c r="T27" i="6"/>
  <c r="T26" i="6"/>
  <c r="T25" i="6"/>
  <c r="T24" i="6"/>
  <c r="T23" i="6"/>
  <c r="V22" i="6"/>
  <c r="T22" i="6"/>
  <c r="V21" i="6"/>
  <c r="T21" i="6"/>
  <c r="V20" i="6"/>
  <c r="T20" i="6"/>
  <c r="T19" i="6"/>
  <c r="T18" i="6"/>
  <c r="V17" i="6"/>
  <c r="T17" i="6"/>
  <c r="V16" i="6"/>
  <c r="T16" i="6"/>
  <c r="V15" i="6"/>
  <c r="T15" i="6"/>
  <c r="V14" i="6"/>
  <c r="T14" i="6"/>
  <c r="V13" i="6"/>
  <c r="T13" i="6"/>
  <c r="T12" i="6"/>
  <c r="T11" i="6"/>
  <c r="V10" i="6"/>
  <c r="T10" i="6"/>
  <c r="V9" i="6"/>
  <c r="T9" i="6"/>
  <c r="V8" i="6"/>
  <c r="T8" i="6"/>
  <c r="V7" i="6"/>
  <c r="T7" i="6"/>
  <c r="V6" i="6"/>
  <c r="T6" i="6"/>
  <c r="T5" i="6"/>
  <c r="A2" i="6"/>
  <c r="D34" i="5"/>
  <c r="C34" i="5"/>
  <c r="B34" i="5"/>
  <c r="A34" i="5"/>
  <c r="F33" i="5"/>
  <c r="E33" i="5"/>
  <c r="C33" i="5"/>
  <c r="E32" i="5"/>
  <c r="D32" i="5"/>
  <c r="C32" i="5"/>
  <c r="B32" i="5"/>
  <c r="A32" i="5"/>
  <c r="E31" i="5"/>
  <c r="D31" i="5"/>
  <c r="F30" i="5"/>
  <c r="E30" i="5"/>
  <c r="D30" i="5"/>
  <c r="C30" i="5"/>
  <c r="A30" i="5"/>
  <c r="F29" i="5"/>
  <c r="E29" i="5"/>
  <c r="A29" i="5"/>
  <c r="Q23" i="5"/>
  <c r="P23" i="5"/>
  <c r="B23" i="5"/>
  <c r="Q22" i="5"/>
  <c r="P22" i="5"/>
  <c r="B22" i="5"/>
  <c r="Q21" i="5"/>
  <c r="P21" i="5"/>
  <c r="B21" i="5"/>
  <c r="Q20" i="5"/>
  <c r="P20" i="5"/>
  <c r="B20" i="5"/>
  <c r="Q19" i="5"/>
  <c r="P19" i="5"/>
  <c r="B19" i="5"/>
  <c r="Q18" i="5"/>
  <c r="P18" i="5"/>
  <c r="B18" i="5"/>
  <c r="Q16" i="5"/>
  <c r="P16" i="5"/>
  <c r="B16" i="5"/>
  <c r="Q15" i="5"/>
  <c r="P15" i="5"/>
  <c r="B15" i="5"/>
  <c r="Q14" i="5"/>
  <c r="P14" i="5"/>
  <c r="B14" i="5"/>
  <c r="Q13" i="5"/>
  <c r="P13" i="5"/>
  <c r="B13" i="5"/>
  <c r="Q12" i="5"/>
  <c r="P12" i="5"/>
  <c r="B12" i="5"/>
  <c r="Q11" i="5"/>
  <c r="P11" i="5"/>
  <c r="B11" i="5"/>
  <c r="C2" i="5"/>
  <c r="A2" i="5"/>
  <c r="F34" i="4"/>
  <c r="E34" i="4"/>
  <c r="D34" i="4"/>
  <c r="A34" i="4"/>
  <c r="F33" i="4"/>
  <c r="E33" i="4"/>
  <c r="D33" i="4"/>
  <c r="C33" i="4"/>
  <c r="B33" i="4"/>
  <c r="A33" i="4"/>
  <c r="F32" i="4"/>
  <c r="D32" i="4"/>
  <c r="B32" i="4"/>
  <c r="A32" i="4"/>
  <c r="F31" i="4"/>
  <c r="E31" i="4"/>
  <c r="D31" i="4"/>
  <c r="C31" i="4"/>
  <c r="B31" i="4"/>
  <c r="F30" i="4"/>
  <c r="E30" i="4"/>
  <c r="C30" i="4"/>
  <c r="B30" i="4"/>
  <c r="A30" i="4"/>
  <c r="F29" i="4"/>
  <c r="E29" i="4"/>
  <c r="D29" i="4"/>
  <c r="B29" i="4"/>
  <c r="A29" i="4"/>
  <c r="Q23" i="4"/>
  <c r="H23" i="4" s="1"/>
  <c r="I23" i="4" s="1"/>
  <c r="P23" i="4"/>
  <c r="B23" i="4"/>
  <c r="K23" i="4" s="1"/>
  <c r="Q22" i="4"/>
  <c r="H22" i="4" s="1"/>
  <c r="I22" i="4" s="1"/>
  <c r="P22" i="4"/>
  <c r="B22" i="4"/>
  <c r="Q21" i="4"/>
  <c r="P21" i="4"/>
  <c r="B21" i="4"/>
  <c r="Q20" i="4"/>
  <c r="P20" i="4"/>
  <c r="B20" i="4"/>
  <c r="Q19" i="4"/>
  <c r="P19" i="4"/>
  <c r="B19" i="4"/>
  <c r="Q18" i="4"/>
  <c r="P18" i="4"/>
  <c r="B18" i="4"/>
  <c r="L18" i="4" s="1"/>
  <c r="Q17" i="4"/>
  <c r="P17" i="4"/>
  <c r="B17" i="4"/>
  <c r="Q16" i="4"/>
  <c r="P16" i="4"/>
  <c r="B16" i="4"/>
  <c r="Q15" i="4"/>
  <c r="P15" i="4"/>
  <c r="B15" i="4"/>
  <c r="Q14" i="4"/>
  <c r="P14" i="4"/>
  <c r="B14" i="4"/>
  <c r="Q13" i="4"/>
  <c r="H13" i="4" s="1"/>
  <c r="I13" i="4" s="1"/>
  <c r="P13" i="4"/>
  <c r="B13" i="4"/>
  <c r="Q12" i="4"/>
  <c r="H12" i="4" s="1"/>
  <c r="I12" i="4" s="1"/>
  <c r="P12" i="4"/>
  <c r="B12" i="4"/>
  <c r="Q11" i="4"/>
  <c r="P11" i="4"/>
  <c r="B11" i="4"/>
  <c r="Q10" i="4"/>
  <c r="P10" i="4"/>
  <c r="B10" i="4"/>
  <c r="J40" i="2"/>
  <c r="I40" i="2"/>
  <c r="H40" i="2"/>
  <c r="G40" i="2"/>
  <c r="F40" i="2"/>
  <c r="E40" i="2"/>
  <c r="D40" i="2"/>
  <c r="C40" i="2"/>
  <c r="B40" i="2"/>
  <c r="A40" i="2"/>
  <c r="J39" i="2"/>
  <c r="I39" i="2"/>
  <c r="H39" i="2"/>
  <c r="G39" i="2"/>
  <c r="F39" i="2"/>
  <c r="E39" i="2"/>
  <c r="D39" i="2"/>
  <c r="C39" i="2"/>
  <c r="B39" i="2"/>
  <c r="A39" i="2"/>
  <c r="J38" i="2"/>
  <c r="I38" i="2"/>
  <c r="H38" i="2"/>
  <c r="G38" i="2"/>
  <c r="F38" i="2"/>
  <c r="E38" i="2"/>
  <c r="D38" i="2"/>
  <c r="C38" i="2"/>
  <c r="B38" i="2"/>
  <c r="A38" i="2"/>
  <c r="J37" i="2"/>
  <c r="I37" i="2"/>
  <c r="H37" i="2"/>
  <c r="G37" i="2"/>
  <c r="F37" i="2"/>
  <c r="E37" i="2"/>
  <c r="D37" i="2"/>
  <c r="C37" i="2"/>
  <c r="B37" i="2"/>
  <c r="A37" i="2"/>
  <c r="J36" i="2"/>
  <c r="I36" i="2"/>
  <c r="H36" i="2"/>
  <c r="G36" i="2"/>
  <c r="F36" i="2"/>
  <c r="E36" i="2"/>
  <c r="D36" i="2"/>
  <c r="C36" i="2"/>
  <c r="B36" i="2"/>
  <c r="A36" i="2"/>
  <c r="J35" i="2"/>
  <c r="I35" i="2"/>
  <c r="H35" i="2"/>
  <c r="G35" i="2"/>
  <c r="F35" i="2"/>
  <c r="E35" i="2"/>
  <c r="D35" i="2"/>
  <c r="C35" i="2"/>
  <c r="B35" i="2"/>
  <c r="A35" i="2"/>
  <c r="J34" i="2"/>
  <c r="I34" i="2"/>
  <c r="H34" i="2"/>
  <c r="G34" i="2"/>
  <c r="F34" i="2"/>
  <c r="E34" i="2"/>
  <c r="D34" i="2"/>
  <c r="C34" i="2"/>
  <c r="B34" i="2"/>
  <c r="A34" i="2"/>
  <c r="J33" i="2"/>
  <c r="I33" i="2"/>
  <c r="H33" i="2"/>
  <c r="G33" i="2"/>
  <c r="F33" i="2"/>
  <c r="E33" i="2"/>
  <c r="D33" i="2"/>
  <c r="C33" i="2"/>
  <c r="B33" i="2"/>
  <c r="A33" i="2"/>
  <c r="J32" i="2"/>
  <c r="I32" i="2"/>
  <c r="H32" i="2"/>
  <c r="G32" i="2"/>
  <c r="F32" i="2"/>
  <c r="E32" i="2"/>
  <c r="D32" i="2"/>
  <c r="C32" i="2"/>
  <c r="B32" i="2"/>
  <c r="A32" i="2"/>
  <c r="J31" i="2"/>
  <c r="I31" i="2"/>
  <c r="H31" i="2"/>
  <c r="G31" i="2"/>
  <c r="F31" i="2"/>
  <c r="E31" i="2"/>
  <c r="D31" i="2"/>
  <c r="C31" i="2"/>
  <c r="B31" i="2"/>
  <c r="A31" i="2"/>
  <c r="J30" i="2"/>
  <c r="I30" i="2"/>
  <c r="H30" i="2"/>
  <c r="G30" i="2"/>
  <c r="F30" i="2"/>
  <c r="E30" i="2"/>
  <c r="D30" i="2"/>
  <c r="C30" i="2"/>
  <c r="B30" i="2"/>
  <c r="A30" i="2"/>
  <c r="J29" i="2"/>
  <c r="I29" i="2"/>
  <c r="H29" i="2"/>
  <c r="G29" i="2"/>
  <c r="F29" i="2"/>
  <c r="E29" i="2"/>
  <c r="D29" i="2"/>
  <c r="C29" i="2"/>
  <c r="B29" i="2"/>
  <c r="A29" i="2"/>
  <c r="A27" i="2"/>
  <c r="G25" i="2"/>
  <c r="F25" i="2"/>
  <c r="C25" i="2"/>
  <c r="B25" i="2"/>
  <c r="A25" i="2"/>
  <c r="D24" i="2"/>
  <c r="C24" i="2"/>
  <c r="B24" i="2"/>
  <c r="F23" i="2"/>
  <c r="E23" i="2"/>
  <c r="G22" i="2"/>
  <c r="F22" i="2"/>
  <c r="B22" i="2"/>
  <c r="A22" i="2"/>
  <c r="A21" i="2"/>
  <c r="A19" i="2"/>
  <c r="A2" i="2"/>
  <c r="E74" i="1"/>
  <c r="B74" i="1"/>
  <c r="A74" i="1"/>
  <c r="D63" i="1"/>
  <c r="D62" i="1"/>
  <c r="D59" i="1"/>
  <c r="D57" i="1"/>
  <c r="B57" i="1"/>
  <c r="D56" i="1"/>
  <c r="B56" i="1"/>
  <c r="D55" i="1"/>
  <c r="B55" i="1"/>
  <c r="D54" i="1"/>
  <c r="D58" i="1" s="1"/>
  <c r="B54" i="1"/>
  <c r="C46" i="1"/>
  <c r="B44" i="1"/>
  <c r="G31" i="1"/>
  <c r="F31" i="1"/>
  <c r="E31" i="1"/>
  <c r="D31" i="1"/>
  <c r="C31" i="1"/>
  <c r="B31" i="1"/>
  <c r="A31" i="1"/>
  <c r="G30" i="1"/>
  <c r="F30" i="1"/>
  <c r="E30" i="1"/>
  <c r="D30" i="1"/>
  <c r="C30" i="1"/>
  <c r="B30" i="1"/>
  <c r="A30" i="1"/>
  <c r="G29" i="1"/>
  <c r="F29" i="1"/>
  <c r="E29" i="1"/>
  <c r="E25" i="2" s="1"/>
  <c r="D29" i="1"/>
  <c r="D25" i="2" s="1"/>
  <c r="C29" i="1"/>
  <c r="B29" i="1"/>
  <c r="A29" i="1"/>
  <c r="G28" i="1"/>
  <c r="G24" i="2" s="1"/>
  <c r="F28" i="1"/>
  <c r="F24" i="2" s="1"/>
  <c r="E28" i="1"/>
  <c r="E24" i="2" s="1"/>
  <c r="D28" i="1"/>
  <c r="C28" i="1"/>
  <c r="B28" i="1"/>
  <c r="A28" i="1"/>
  <c r="A24" i="2" s="1"/>
  <c r="G27" i="1"/>
  <c r="G23" i="2" s="1"/>
  <c r="F27" i="1"/>
  <c r="E27" i="1"/>
  <c r="D27" i="1"/>
  <c r="D23" i="2" s="1"/>
  <c r="C27" i="1"/>
  <c r="C23" i="2" s="1"/>
  <c r="B27" i="1"/>
  <c r="B23" i="2" s="1"/>
  <c r="A27" i="1"/>
  <c r="A23" i="2" s="1"/>
  <c r="G26" i="1"/>
  <c r="F26" i="1"/>
  <c r="E26" i="1"/>
  <c r="E22" i="2" s="1"/>
  <c r="D26" i="1"/>
  <c r="D22" i="2" s="1"/>
  <c r="C26" i="1"/>
  <c r="C22" i="2" s="1"/>
  <c r="B26" i="1"/>
  <c r="A26" i="1"/>
  <c r="G25" i="1"/>
  <c r="G21" i="2" s="1"/>
  <c r="F25" i="1"/>
  <c r="F21" i="2" s="1"/>
  <c r="E25" i="1"/>
  <c r="E21" i="2" s="1"/>
  <c r="D25" i="1"/>
  <c r="D21" i="2" s="1"/>
  <c r="C25" i="1"/>
  <c r="C21" i="2" s="1"/>
  <c r="B25" i="1"/>
  <c r="B21" i="2" s="1"/>
  <c r="A25" i="1"/>
  <c r="E6" i="1"/>
  <c r="E6" i="2" s="1"/>
  <c r="B6" i="1"/>
  <c r="B6" i="2" s="1"/>
  <c r="A6" i="1"/>
  <c r="A6" i="2" s="1"/>
  <c r="A2" i="1"/>
  <c r="Q33" i="3"/>
  <c r="O33" i="3"/>
  <c r="P33" i="3" s="1"/>
  <c r="Q32" i="3"/>
  <c r="O32" i="3"/>
  <c r="P32" i="3" s="1"/>
  <c r="Q31" i="3"/>
  <c r="P31" i="3"/>
  <c r="O31" i="3"/>
  <c r="Q30" i="3"/>
  <c r="O30" i="3"/>
  <c r="P30" i="3" s="1"/>
  <c r="Q29" i="3"/>
  <c r="P29" i="3"/>
  <c r="O29" i="3"/>
  <c r="Q28" i="3"/>
  <c r="O28" i="3"/>
  <c r="P28" i="3" s="1"/>
  <c r="Q26" i="3"/>
  <c r="P26" i="3"/>
  <c r="O26" i="3"/>
  <c r="Q25" i="3"/>
  <c r="O25" i="3"/>
  <c r="P25" i="3" s="1"/>
  <c r="Q24" i="3"/>
  <c r="O24" i="3"/>
  <c r="P24" i="3" s="1"/>
  <c r="Q23" i="3"/>
  <c r="O23" i="3"/>
  <c r="P23" i="3" s="1"/>
  <c r="Q22" i="3"/>
  <c r="O22" i="3"/>
  <c r="P22" i="3" s="1"/>
  <c r="Q21" i="3"/>
  <c r="O21" i="3"/>
  <c r="P21" i="3" s="1"/>
  <c r="Q18" i="3"/>
  <c r="P18" i="3"/>
  <c r="O18" i="3"/>
  <c r="Q17" i="3"/>
  <c r="Q16" i="3"/>
  <c r="P16" i="3"/>
  <c r="O16" i="3"/>
  <c r="Q15" i="3"/>
  <c r="O15" i="3"/>
  <c r="P15" i="3" s="1"/>
  <c r="Q14" i="3"/>
  <c r="P14" i="3"/>
  <c r="O14" i="3"/>
  <c r="Q13" i="3"/>
  <c r="O13" i="3"/>
  <c r="P13" i="3" s="1"/>
  <c r="Q12" i="3"/>
  <c r="O12" i="3"/>
  <c r="P12" i="3" s="1"/>
  <c r="Q11" i="3"/>
  <c r="O11" i="3"/>
  <c r="P11" i="3" s="1"/>
  <c r="Q10" i="3"/>
  <c r="O10" i="3"/>
  <c r="P10" i="3" s="1"/>
  <c r="Q9" i="3"/>
  <c r="O9" i="3"/>
  <c r="P9" i="3" s="1"/>
  <c r="Q8" i="3"/>
  <c r="P8" i="3"/>
  <c r="O8" i="3"/>
  <c r="Q7" i="3"/>
  <c r="O7" i="3"/>
  <c r="P7" i="3" s="1"/>
  <c r="Q6" i="3"/>
  <c r="P6" i="3"/>
  <c r="O6" i="3"/>
  <c r="Q5" i="3"/>
  <c r="O5" i="3"/>
  <c r="P5" i="3" s="1"/>
  <c r="B5" i="10" l="1"/>
  <c r="M10" i="4"/>
  <c r="E10" i="4"/>
  <c r="M11" i="4"/>
  <c r="G11" i="4"/>
  <c r="M12" i="4"/>
  <c r="K12" i="4"/>
  <c r="J12" i="4"/>
  <c r="F12" i="4"/>
  <c r="C12" i="4"/>
  <c r="M13" i="4"/>
  <c r="G13" i="4"/>
  <c r="F13" i="4"/>
  <c r="C10" i="16" s="1"/>
  <c r="E13" i="4"/>
  <c r="C11" i="16"/>
  <c r="B8" i="12"/>
  <c r="O14" i="4"/>
  <c r="N14" i="4"/>
  <c r="K14" i="4"/>
  <c r="J14" i="4"/>
  <c r="G14" i="4"/>
  <c r="F14" i="4"/>
  <c r="E14" i="4"/>
  <c r="D14" i="4"/>
  <c r="M15" i="4"/>
  <c r="L15" i="4"/>
  <c r="K15" i="4"/>
  <c r="J15" i="4"/>
  <c r="E15" i="4"/>
  <c r="D15" i="4"/>
  <c r="C15" i="4"/>
  <c r="M16" i="4"/>
  <c r="N16" i="4"/>
  <c r="G16" i="4"/>
  <c r="F16" i="4"/>
  <c r="E16" i="4"/>
  <c r="F17" i="4"/>
  <c r="K17" i="4"/>
  <c r="L19" i="4"/>
  <c r="K19" i="4"/>
  <c r="J19" i="4"/>
  <c r="G19" i="4"/>
  <c r="F19" i="4"/>
  <c r="O20" i="4"/>
  <c r="N20" i="4"/>
  <c r="F20" i="4"/>
  <c r="C11" i="12"/>
  <c r="O21" i="4"/>
  <c r="N21" i="4"/>
  <c r="M21" i="4"/>
  <c r="K21" i="4"/>
  <c r="J21" i="4"/>
  <c r="G21" i="4"/>
  <c r="F21" i="4"/>
  <c r="C18" i="16" s="1"/>
  <c r="E21" i="4"/>
  <c r="D21" i="4"/>
  <c r="C21" i="4"/>
  <c r="B18" i="16" s="1"/>
  <c r="O22" i="4"/>
  <c r="N22" i="4"/>
  <c r="M22" i="4"/>
  <c r="L22" i="4"/>
  <c r="E22" i="4"/>
  <c r="D22" i="4"/>
  <c r="C22" i="4"/>
  <c r="B19" i="16" s="1"/>
  <c r="B17" i="12"/>
  <c r="O11" i="5"/>
  <c r="N11" i="5"/>
  <c r="M11" i="5"/>
  <c r="K11" i="5"/>
  <c r="J11" i="5"/>
  <c r="G11" i="5"/>
  <c r="F11" i="5"/>
  <c r="E11" i="5"/>
  <c r="D11" i="5"/>
  <c r="H11" i="5" s="1"/>
  <c r="C11" i="5"/>
  <c r="N12" i="5"/>
  <c r="M12" i="5"/>
  <c r="L12" i="5"/>
  <c r="D12" i="5"/>
  <c r="C12" i="5"/>
  <c r="C18" i="12" s="1"/>
  <c r="B19" i="12"/>
  <c r="O13" i="5"/>
  <c r="N13" i="5"/>
  <c r="L13" i="5"/>
  <c r="G13" i="5"/>
  <c r="F13" i="5"/>
  <c r="C26" i="16" s="1"/>
  <c r="E13" i="5"/>
  <c r="D13" i="5"/>
  <c r="C13" i="5"/>
  <c r="C19" i="12" s="1"/>
  <c r="O14" i="5"/>
  <c r="M14" i="5"/>
  <c r="L14" i="5"/>
  <c r="K14" i="5"/>
  <c r="E14" i="5"/>
  <c r="C14" i="5"/>
  <c r="C20" i="12" s="1"/>
  <c r="L15" i="5"/>
  <c r="D28" i="16"/>
  <c r="C28" i="16"/>
  <c r="B21" i="12"/>
  <c r="O15" i="5"/>
  <c r="K15" i="5"/>
  <c r="J15" i="5"/>
  <c r="G15" i="5"/>
  <c r="F15" i="5"/>
  <c r="E15" i="5"/>
  <c r="D15" i="5"/>
  <c r="O16" i="5"/>
  <c r="N16" i="5"/>
  <c r="M16" i="5"/>
  <c r="K16" i="5"/>
  <c r="J16" i="5"/>
  <c r="G16" i="5"/>
  <c r="F16" i="5"/>
  <c r="C29" i="16" s="1"/>
  <c r="E16" i="5"/>
  <c r="D16" i="5"/>
  <c r="H16" i="5" s="1"/>
  <c r="I16" i="5" s="1"/>
  <c r="C16" i="5"/>
  <c r="C30" i="16"/>
  <c r="B23" i="12"/>
  <c r="N18" i="5"/>
  <c r="L18" i="5"/>
  <c r="J18" i="5"/>
  <c r="G18" i="5"/>
  <c r="F18" i="5"/>
  <c r="D18" i="5"/>
  <c r="C18" i="5"/>
  <c r="D31" i="16"/>
  <c r="O19" i="5"/>
  <c r="N19" i="5"/>
  <c r="K19" i="5"/>
  <c r="J19" i="5"/>
  <c r="E19" i="5"/>
  <c r="B25" i="12"/>
  <c r="K20" i="5"/>
  <c r="J20" i="5"/>
  <c r="G20" i="5"/>
  <c r="F20" i="5"/>
  <c r="E20" i="5"/>
  <c r="O21" i="5"/>
  <c r="N21" i="5"/>
  <c r="M21" i="5"/>
  <c r="L21" i="5"/>
  <c r="K21" i="5"/>
  <c r="E21" i="5"/>
  <c r="D21" i="5"/>
  <c r="C21" i="5"/>
  <c r="C26" i="12" s="1"/>
  <c r="O22" i="5"/>
  <c r="N22" i="5"/>
  <c r="L22" i="5"/>
  <c r="J22" i="5"/>
  <c r="G22" i="5"/>
  <c r="F22" i="5"/>
  <c r="E22" i="5"/>
  <c r="D22" i="5"/>
  <c r="C22" i="5"/>
  <c r="L23" i="5"/>
  <c r="C23" i="5"/>
  <c r="C28" i="12" s="1"/>
  <c r="B24" i="16"/>
  <c r="C17" i="12"/>
  <c r="B34" i="16"/>
  <c r="C27" i="12"/>
  <c r="H18" i="5"/>
  <c r="I18" i="5" s="1"/>
  <c r="H22" i="5"/>
  <c r="E44" i="1"/>
  <c r="E5" i="10"/>
  <c r="B22" i="9"/>
  <c r="O8" i="13"/>
  <c r="AB24" i="24"/>
  <c r="D24" i="16"/>
  <c r="I11" i="5"/>
  <c r="AB30" i="24"/>
  <c r="O23" i="5"/>
  <c r="E23" i="5"/>
  <c r="J23" i="5"/>
  <c r="B35" i="16"/>
  <c r="A8" i="9"/>
  <c r="B28" i="12"/>
  <c r="B19" i="9"/>
  <c r="N6" i="13"/>
  <c r="O7" i="13"/>
  <c r="P5" i="13"/>
  <c r="C19" i="9"/>
  <c r="C7" i="16"/>
  <c r="C13" i="16"/>
  <c r="AB6" i="17"/>
  <c r="B32" i="10" s="1"/>
  <c r="B18" i="10"/>
  <c r="D2" i="9"/>
  <c r="C20" i="10"/>
  <c r="B20" i="10"/>
  <c r="C19" i="10"/>
  <c r="G8" i="9"/>
  <c r="B17" i="10"/>
  <c r="A15" i="10"/>
  <c r="J18" i="4"/>
  <c r="B10" i="12"/>
  <c r="G18" i="4"/>
  <c r="K11" i="4"/>
  <c r="D8" i="16"/>
  <c r="J11" i="4"/>
  <c r="C8" i="16"/>
  <c r="C6" i="12"/>
  <c r="N11" i="4"/>
  <c r="AB23" i="24"/>
  <c r="J23" i="4"/>
  <c r="D20" i="16"/>
  <c r="E23" i="4"/>
  <c r="O23" i="4"/>
  <c r="D23" i="4"/>
  <c r="N23" i="4"/>
  <c r="C23" i="4"/>
  <c r="B20" i="16" s="1"/>
  <c r="C12" i="12"/>
  <c r="G17" i="4"/>
  <c r="D18" i="4"/>
  <c r="G19" i="5"/>
  <c r="A17" i="5"/>
  <c r="F19" i="5"/>
  <c r="D23" i="5"/>
  <c r="H23" i="5" s="1"/>
  <c r="O9" i="13"/>
  <c r="AB10" i="17"/>
  <c r="H18" i="4"/>
  <c r="C23" i="12"/>
  <c r="B30" i="16"/>
  <c r="C11" i="4"/>
  <c r="O11" i="4"/>
  <c r="K20" i="4"/>
  <c r="C17" i="16"/>
  <c r="J20" i="4"/>
  <c r="B11" i="12"/>
  <c r="F23" i="4"/>
  <c r="C20" i="16" s="1"/>
  <c r="E2" i="5"/>
  <c r="C74" i="1"/>
  <c r="C2" i="4"/>
  <c r="J10" i="4"/>
  <c r="D11" i="4"/>
  <c r="H11" i="4" s="1"/>
  <c r="I11" i="4" s="1"/>
  <c r="L12" i="4"/>
  <c r="J13" i="4"/>
  <c r="E18" i="4"/>
  <c r="C20" i="4"/>
  <c r="B17" i="16" s="1"/>
  <c r="G22" i="4"/>
  <c r="G23" i="4"/>
  <c r="G2" i="5"/>
  <c r="J12" i="5"/>
  <c r="C19" i="5"/>
  <c r="C24" i="12" s="1"/>
  <c r="F23" i="5"/>
  <c r="C35" i="16" s="1"/>
  <c r="C17" i="10"/>
  <c r="B24" i="12"/>
  <c r="B8" i="16"/>
  <c r="D19" i="16"/>
  <c r="C18" i="4"/>
  <c r="B15" i="16" s="1"/>
  <c r="E2" i="4"/>
  <c r="K10" i="4"/>
  <c r="E11" i="4"/>
  <c r="K13" i="4"/>
  <c r="G15" i="4"/>
  <c r="H15" i="4" s="1"/>
  <c r="F15" i="4"/>
  <c r="O15" i="4"/>
  <c r="C12" i="16"/>
  <c r="B12" i="16"/>
  <c r="N15" i="4"/>
  <c r="L16" i="4"/>
  <c r="F18" i="4"/>
  <c r="C15" i="16" s="1"/>
  <c r="D20" i="4"/>
  <c r="K12" i="5"/>
  <c r="N14" i="5"/>
  <c r="D14" i="5"/>
  <c r="G14" i="5"/>
  <c r="F14" i="5"/>
  <c r="C27" i="16" s="1"/>
  <c r="B27" i="16"/>
  <c r="D19" i="5"/>
  <c r="H19" i="5" s="1"/>
  <c r="I19" i="5" s="1"/>
  <c r="B33" i="16"/>
  <c r="G21" i="5"/>
  <c r="H21" i="5" s="1"/>
  <c r="B26" i="12"/>
  <c r="J21" i="5"/>
  <c r="G23" i="5"/>
  <c r="D5" i="9"/>
  <c r="D9" i="9"/>
  <c r="C18" i="10"/>
  <c r="D4" i="12"/>
  <c r="C9" i="12"/>
  <c r="O17" i="4"/>
  <c r="E17" i="4"/>
  <c r="C14" i="16"/>
  <c r="N17" i="4"/>
  <c r="D17" i="4"/>
  <c r="H17" i="4" s="1"/>
  <c r="M17" i="4"/>
  <c r="C17" i="4"/>
  <c r="B14" i="16" s="1"/>
  <c r="E2" i="1"/>
  <c r="G2" i="4"/>
  <c r="L10" i="4"/>
  <c r="F11" i="4"/>
  <c r="B7" i="12"/>
  <c r="AB12" i="24"/>
  <c r="O12" i="4"/>
  <c r="E12" i="4"/>
  <c r="N12" i="4"/>
  <c r="D12" i="4"/>
  <c r="D9" i="16"/>
  <c r="C9" i="16"/>
  <c r="B9" i="16"/>
  <c r="L13" i="4"/>
  <c r="J17" i="4"/>
  <c r="K18" i="4"/>
  <c r="E20" i="4"/>
  <c r="H15" i="5"/>
  <c r="I15" i="5" s="1"/>
  <c r="K23" i="5"/>
  <c r="J4" i="28"/>
  <c r="B19" i="10"/>
  <c r="C7" i="12"/>
  <c r="B20" i="12"/>
  <c r="D7" i="16"/>
  <c r="A2" i="16"/>
  <c r="G10" i="4"/>
  <c r="A2" i="4"/>
  <c r="D44" i="1"/>
  <c r="F10" i="4"/>
  <c r="B7" i="16"/>
  <c r="B6" i="12"/>
  <c r="D5" i="10"/>
  <c r="B4" i="12"/>
  <c r="N10" i="4"/>
  <c r="AB13" i="24"/>
  <c r="N13" i="4"/>
  <c r="K16" i="4"/>
  <c r="J16" i="4"/>
  <c r="B9" i="12"/>
  <c r="O16" i="4"/>
  <c r="L17" i="4"/>
  <c r="M18" i="4"/>
  <c r="G20" i="4"/>
  <c r="H20" i="4" s="1"/>
  <c r="L23" i="4"/>
  <c r="C22" i="12"/>
  <c r="B29" i="16"/>
  <c r="M23" i="5"/>
  <c r="D6" i="9"/>
  <c r="B6" i="10"/>
  <c r="E6" i="10" s="1"/>
  <c r="C8" i="12"/>
  <c r="D10" i="16"/>
  <c r="B25" i="16"/>
  <c r="B45" i="1"/>
  <c r="E45" i="1" s="1"/>
  <c r="D67" i="1"/>
  <c r="C10" i="4"/>
  <c r="O10" i="4"/>
  <c r="G12" i="4"/>
  <c r="C13" i="4"/>
  <c r="B10" i="16" s="1"/>
  <c r="O13" i="4"/>
  <c r="C16" i="4"/>
  <c r="B13" i="16" s="1"/>
  <c r="N18" i="4"/>
  <c r="L20" i="4"/>
  <c r="M23" i="4"/>
  <c r="O12" i="5"/>
  <c r="J14" i="5"/>
  <c r="D29" i="16"/>
  <c r="AB29" i="24"/>
  <c r="L19" i="5"/>
  <c r="F21" i="5"/>
  <c r="C33" i="16" s="1"/>
  <c r="N23" i="5"/>
  <c r="D7" i="9"/>
  <c r="D6" i="10"/>
  <c r="B31" i="16"/>
  <c r="C6" i="1"/>
  <c r="C6" i="2" s="1"/>
  <c r="D6" i="1"/>
  <c r="D6" i="2" s="1"/>
  <c r="D45" i="1"/>
  <c r="D68" i="1"/>
  <c r="D10" i="4"/>
  <c r="H10" i="4" s="1"/>
  <c r="L11" i="4"/>
  <c r="D13" i="4"/>
  <c r="D16" i="4"/>
  <c r="H16" i="4" s="1"/>
  <c r="O18" i="4"/>
  <c r="M20" i="4"/>
  <c r="B12" i="12"/>
  <c r="F22" i="4"/>
  <c r="C19" i="16" s="1"/>
  <c r="AB22" i="24"/>
  <c r="K22" i="4"/>
  <c r="J22" i="4"/>
  <c r="F12" i="5"/>
  <c r="C25" i="16" s="1"/>
  <c r="B18" i="12"/>
  <c r="G12" i="5"/>
  <c r="H12" i="5" s="1"/>
  <c r="A10" i="5"/>
  <c r="E12" i="5"/>
  <c r="B15" i="12"/>
  <c r="M19" i="5"/>
  <c r="J7" i="28"/>
  <c r="D15" i="12"/>
  <c r="M10" i="13"/>
  <c r="C31" i="16"/>
  <c r="D10" i="26"/>
  <c r="B13" i="26"/>
  <c r="D33" i="5"/>
  <c r="F31" i="5"/>
  <c r="B30" i="5"/>
  <c r="C34" i="4"/>
  <c r="E32" i="4"/>
  <c r="A31" i="4"/>
  <c r="C29" i="4"/>
  <c r="C16" i="16"/>
  <c r="N19" i="4"/>
  <c r="D19" i="4"/>
  <c r="H19" i="4" s="1"/>
  <c r="M19" i="4"/>
  <c r="K13" i="5"/>
  <c r="K18" i="5"/>
  <c r="L20" i="5"/>
  <c r="B27" i="12"/>
  <c r="D34" i="16"/>
  <c r="C34" i="16"/>
  <c r="K22" i="5"/>
  <c r="M22" i="5"/>
  <c r="B29" i="5"/>
  <c r="A31" i="5"/>
  <c r="F32" i="5"/>
  <c r="E34" i="5"/>
  <c r="B11" i="16"/>
  <c r="B26" i="16"/>
  <c r="L14" i="4"/>
  <c r="C19" i="4"/>
  <c r="B16" i="16" s="1"/>
  <c r="O19" i="4"/>
  <c r="B28" i="16"/>
  <c r="M15" i="5"/>
  <c r="M20" i="5"/>
  <c r="C20" i="5"/>
  <c r="C25" i="12" s="1"/>
  <c r="N20" i="5"/>
  <c r="C29" i="5"/>
  <c r="B31" i="5"/>
  <c r="A33" i="5"/>
  <c r="F34" i="5"/>
  <c r="D11" i="16"/>
  <c r="B32" i="16"/>
  <c r="C14" i="4"/>
  <c r="M14" i="4"/>
  <c r="E19" i="4"/>
  <c r="D30" i="4"/>
  <c r="C32" i="4"/>
  <c r="J13" i="5"/>
  <c r="M13" i="5"/>
  <c r="C15" i="5"/>
  <c r="C21" i="12" s="1"/>
  <c r="N15" i="5"/>
  <c r="D30" i="16"/>
  <c r="O18" i="5"/>
  <c r="E18" i="5"/>
  <c r="M18" i="5"/>
  <c r="D20" i="5"/>
  <c r="H20" i="5" s="1"/>
  <c r="O20" i="5"/>
  <c r="D29" i="5"/>
  <c r="C31" i="5"/>
  <c r="B33" i="5"/>
  <c r="J5" i="28"/>
  <c r="J6" i="28"/>
  <c r="C10" i="12"/>
  <c r="C32" i="16"/>
  <c r="L21" i="4"/>
  <c r="L11" i="5"/>
  <c r="L16" i="5"/>
  <c r="B22" i="12"/>
  <c r="C24" i="16"/>
  <c r="D13" i="26"/>
  <c r="B15" i="27"/>
  <c r="I18" i="4" l="1"/>
  <c r="D15" i="16"/>
  <c r="H13" i="5"/>
  <c r="H21" i="4"/>
  <c r="H14" i="4"/>
  <c r="I22" i="5"/>
  <c r="AB34" i="24"/>
  <c r="I10" i="4"/>
  <c r="AB10" i="24"/>
  <c r="C21" i="10"/>
  <c r="D69" i="1"/>
  <c r="I21" i="5"/>
  <c r="AB33" i="24"/>
  <c r="D33" i="16"/>
  <c r="I20" i="5"/>
  <c r="D32" i="16"/>
  <c r="AB32" i="24"/>
  <c r="I17" i="4"/>
  <c r="AB17" i="24"/>
  <c r="D14" i="16"/>
  <c r="I15" i="4"/>
  <c r="I2" i="4"/>
  <c r="D12" i="16"/>
  <c r="AB15" i="24"/>
  <c r="I20" i="4"/>
  <c r="AB20" i="24"/>
  <c r="D17" i="16"/>
  <c r="I12" i="5"/>
  <c r="AB25" i="24"/>
  <c r="D25" i="16"/>
  <c r="I16" i="4"/>
  <c r="AB16" i="24"/>
  <c r="D13" i="16"/>
  <c r="I23" i="5"/>
  <c r="AB35" i="24"/>
  <c r="D35" i="16"/>
  <c r="D16" i="16"/>
  <c r="I19" i="4"/>
  <c r="AB19" i="24"/>
  <c r="AK12" i="24"/>
  <c r="AJ12" i="24"/>
  <c r="AI12" i="24"/>
  <c r="AE12" i="24"/>
  <c r="AN12" i="24"/>
  <c r="AD12" i="24"/>
  <c r="AL12" i="24"/>
  <c r="AM12" i="24"/>
  <c r="AH12" i="24"/>
  <c r="AG12" i="24"/>
  <c r="AF12" i="24"/>
  <c r="AC12" i="24"/>
  <c r="F5" i="9"/>
  <c r="D13" i="9"/>
  <c r="D10" i="9"/>
  <c r="F10" i="9" s="1"/>
  <c r="H5" i="9"/>
  <c r="A5" i="9"/>
  <c r="D38" i="1"/>
  <c r="B36" i="1"/>
  <c r="B39" i="1"/>
  <c r="D35" i="1"/>
  <c r="B35" i="1"/>
  <c r="D37" i="1"/>
  <c r="A33" i="1"/>
  <c r="D39" i="1"/>
  <c r="B37" i="1"/>
  <c r="D36" i="1"/>
  <c r="B38" i="1"/>
  <c r="G5" i="9"/>
  <c r="B7" i="10"/>
  <c r="A7" i="9"/>
  <c r="H7" i="9"/>
  <c r="F7" i="9"/>
  <c r="AH23" i="24"/>
  <c r="AG23" i="24"/>
  <c r="AF23" i="24"/>
  <c r="AL23" i="24"/>
  <c r="AK23" i="24"/>
  <c r="AI23" i="24"/>
  <c r="AN23" i="24"/>
  <c r="AM23" i="24"/>
  <c r="AJ23" i="24"/>
  <c r="AE23" i="24"/>
  <c r="AD23" i="24"/>
  <c r="AC23" i="24"/>
  <c r="B21" i="10"/>
  <c r="H6" i="9"/>
  <c r="F6" i="9"/>
  <c r="A6" i="9"/>
  <c r="D7" i="10"/>
  <c r="B12" i="10" s="1"/>
  <c r="C23" i="9"/>
  <c r="P9" i="13"/>
  <c r="D23" i="9" s="1"/>
  <c r="B46" i="1"/>
  <c r="AJ29" i="24"/>
  <c r="AI29" i="24"/>
  <c r="AH29" i="24"/>
  <c r="AN29" i="24"/>
  <c r="AD29" i="24"/>
  <c r="AM29" i="24"/>
  <c r="AC29" i="24"/>
  <c r="AK29" i="24"/>
  <c r="AL29" i="24"/>
  <c r="AG29" i="24"/>
  <c r="AF29" i="24"/>
  <c r="AE29" i="24"/>
  <c r="D74" i="1"/>
  <c r="G6" i="1" s="1"/>
  <c r="G6" i="2" s="1"/>
  <c r="F6" i="1"/>
  <c r="F6" i="2" s="1"/>
  <c r="G6" i="9"/>
  <c r="D19" i="9"/>
  <c r="AE24" i="24"/>
  <c r="AN24" i="24"/>
  <c r="AD24" i="24"/>
  <c r="AM24" i="24"/>
  <c r="AI24" i="24"/>
  <c r="AH24" i="24"/>
  <c r="AF24" i="24"/>
  <c r="AG24" i="24"/>
  <c r="AL24" i="24"/>
  <c r="AK24" i="24"/>
  <c r="AJ24" i="24"/>
  <c r="C21" i="9"/>
  <c r="P7" i="13"/>
  <c r="D21" i="9" s="1"/>
  <c r="A9" i="9"/>
  <c r="F9" i="9"/>
  <c r="H14" i="5"/>
  <c r="AB18" i="24"/>
  <c r="O6" i="13"/>
  <c r="B20" i="9"/>
  <c r="AG10" i="24"/>
  <c r="AF10" i="24"/>
  <c r="AE10" i="24"/>
  <c r="AK10" i="24"/>
  <c r="AJ10" i="24"/>
  <c r="AH10" i="24"/>
  <c r="AM10" i="24"/>
  <c r="AL10" i="24"/>
  <c r="AI10" i="24"/>
  <c r="AD10" i="24"/>
  <c r="AC10" i="24"/>
  <c r="AN10" i="24"/>
  <c r="AB28" i="24"/>
  <c r="G7" i="9"/>
  <c r="N10" i="13"/>
  <c r="AK22" i="24"/>
  <c r="AJ22" i="24"/>
  <c r="AI22" i="24"/>
  <c r="AE22" i="24"/>
  <c r="AN22" i="24"/>
  <c r="AD22" i="24"/>
  <c r="AL22" i="24"/>
  <c r="AG22" i="24"/>
  <c r="AF22" i="24"/>
  <c r="AC22" i="24"/>
  <c r="AM22" i="24"/>
  <c r="AH22" i="24"/>
  <c r="AH13" i="24"/>
  <c r="AG13" i="24"/>
  <c r="AF13" i="24"/>
  <c r="AL13" i="24"/>
  <c r="AK13" i="24"/>
  <c r="AI13" i="24"/>
  <c r="AN13" i="24"/>
  <c r="AM13" i="24"/>
  <c r="AJ13" i="24"/>
  <c r="AE13" i="24"/>
  <c r="AD13" i="24"/>
  <c r="AC13" i="24"/>
  <c r="D46" i="1"/>
  <c r="D50" i="1" s="1"/>
  <c r="AB31" i="24"/>
  <c r="G9" i="9"/>
  <c r="C22" i="9"/>
  <c r="P8" i="13"/>
  <c r="D22" i="9" s="1"/>
  <c r="AB11" i="24"/>
  <c r="AG30" i="24"/>
  <c r="AF30" i="24"/>
  <c r="AE30" i="24"/>
  <c r="AK30" i="24"/>
  <c r="AJ30" i="24"/>
  <c r="AH30" i="24"/>
  <c r="AC30" i="24"/>
  <c r="AN30" i="24"/>
  <c r="AM30" i="24"/>
  <c r="AL30" i="24"/>
  <c r="AI30" i="24"/>
  <c r="AD30" i="24"/>
  <c r="I14" i="4" l="1"/>
  <c r="AB14" i="24"/>
  <c r="D18" i="16"/>
  <c r="I21" i="4"/>
  <c r="AB21" i="24"/>
  <c r="I13" i="5"/>
  <c r="AB26" i="24"/>
  <c r="D26" i="16"/>
  <c r="AE34" i="24"/>
  <c r="AN34" i="24"/>
  <c r="AD34" i="24"/>
  <c r="AM34" i="24"/>
  <c r="AC34" i="24"/>
  <c r="AI34" i="24"/>
  <c r="AH34" i="24"/>
  <c r="AF34" i="24"/>
  <c r="AL34" i="24"/>
  <c r="AK34" i="24"/>
  <c r="AJ34" i="24"/>
  <c r="AG34" i="24"/>
  <c r="F74" i="1"/>
  <c r="G74" i="1" s="1"/>
  <c r="H6" i="1" s="1"/>
  <c r="H6" i="2" s="1"/>
  <c r="A3" i="16"/>
  <c r="I2" i="5"/>
  <c r="D40" i="1"/>
  <c r="AI16" i="24"/>
  <c r="AH16" i="24"/>
  <c r="AG16" i="24"/>
  <c r="AM16" i="24"/>
  <c r="AC16" i="24"/>
  <c r="AL16" i="24"/>
  <c r="AJ16" i="24"/>
  <c r="AK16" i="24"/>
  <c r="AF16" i="24"/>
  <c r="AE16" i="24"/>
  <c r="AD16" i="24"/>
  <c r="AN16" i="24"/>
  <c r="AM28" i="24"/>
  <c r="AC28" i="24"/>
  <c r="AL28" i="24"/>
  <c r="AK28" i="24"/>
  <c r="AG28" i="24"/>
  <c r="AF28" i="24"/>
  <c r="AN28" i="24"/>
  <c r="AD28" i="24"/>
  <c r="AE28" i="24"/>
  <c r="AJ28" i="24"/>
  <c r="AI28" i="24"/>
  <c r="AH28" i="24"/>
  <c r="E37" i="1"/>
  <c r="C37" i="1"/>
  <c r="AN11" i="24"/>
  <c r="AD11" i="24"/>
  <c r="AM11" i="24"/>
  <c r="AC11" i="24"/>
  <c r="AL11" i="24"/>
  <c r="AH11" i="24"/>
  <c r="AG11" i="24"/>
  <c r="AE11" i="24"/>
  <c r="AK11" i="24"/>
  <c r="AJ11" i="24"/>
  <c r="AI11" i="24"/>
  <c r="AF11" i="24"/>
  <c r="P6" i="13"/>
  <c r="C20" i="9"/>
  <c r="O10" i="13"/>
  <c r="E7" i="10"/>
  <c r="B13" i="10"/>
  <c r="AF17" i="24"/>
  <c r="AE17" i="24"/>
  <c r="AN17" i="24"/>
  <c r="AD17" i="24"/>
  <c r="AJ17" i="24"/>
  <c r="AI17" i="24"/>
  <c r="AG17" i="24"/>
  <c r="AM17" i="24"/>
  <c r="AL17" i="24"/>
  <c r="AK17" i="24"/>
  <c r="AH17" i="24"/>
  <c r="AN31" i="24"/>
  <c r="AD31" i="24"/>
  <c r="AM31" i="24"/>
  <c r="AC31" i="24"/>
  <c r="AL31" i="24"/>
  <c r="AH31" i="24"/>
  <c r="AG31" i="24"/>
  <c r="AE31" i="24"/>
  <c r="AK31" i="24"/>
  <c r="AJ31" i="24"/>
  <c r="AI31" i="24"/>
  <c r="AF31" i="24"/>
  <c r="AL35" i="24"/>
  <c r="AK35" i="24"/>
  <c r="AJ35" i="24"/>
  <c r="AF35" i="24"/>
  <c r="AE35" i="24"/>
  <c r="AM35" i="24"/>
  <c r="AN35" i="24"/>
  <c r="AI35" i="24"/>
  <c r="AH35" i="24"/>
  <c r="AG35" i="24"/>
  <c r="AD35" i="24"/>
  <c r="AG20" i="24"/>
  <c r="AF20" i="24"/>
  <c r="AE20" i="24"/>
  <c r="AK20" i="24"/>
  <c r="AJ20" i="24"/>
  <c r="AH20" i="24"/>
  <c r="AI20" i="24"/>
  <c r="AD20" i="24"/>
  <c r="AC20" i="24"/>
  <c r="AN20" i="24"/>
  <c r="AM20" i="24"/>
  <c r="AL20" i="24"/>
  <c r="E35" i="1"/>
  <c r="B40" i="1"/>
  <c r="E40" i="1" s="1"/>
  <c r="C35" i="1"/>
  <c r="D51" i="1"/>
  <c r="E46" i="1"/>
  <c r="AK32" i="24"/>
  <c r="AJ32" i="24"/>
  <c r="AI32" i="24"/>
  <c r="AE32" i="24"/>
  <c r="AN32" i="24"/>
  <c r="AD32" i="24"/>
  <c r="AL32" i="24"/>
  <c r="AC32" i="24"/>
  <c r="AM32" i="24"/>
  <c r="AH32" i="24"/>
  <c r="AG32" i="24"/>
  <c r="AF32" i="24"/>
  <c r="AL15" i="24"/>
  <c r="AK15" i="24"/>
  <c r="AJ15" i="24"/>
  <c r="AF15" i="24"/>
  <c r="AE15" i="24"/>
  <c r="AM15" i="24"/>
  <c r="AN15" i="24"/>
  <c r="AI15" i="24"/>
  <c r="AH15" i="24"/>
  <c r="AG15" i="24"/>
  <c r="AD15" i="24"/>
  <c r="AM18" i="24"/>
  <c r="AC18" i="24"/>
  <c r="AL18" i="24"/>
  <c r="AK18" i="24"/>
  <c r="AG18" i="24"/>
  <c r="AF18" i="24"/>
  <c r="AN18" i="24"/>
  <c r="AD18" i="24"/>
  <c r="AI18" i="24"/>
  <c r="AH18" i="24"/>
  <c r="AE18" i="24"/>
  <c r="AJ18" i="24"/>
  <c r="E39" i="1"/>
  <c r="C39" i="1"/>
  <c r="AH33" i="24"/>
  <c r="AG33" i="24"/>
  <c r="AF33" i="24"/>
  <c r="AL33" i="24"/>
  <c r="AK33" i="24"/>
  <c r="AI33" i="24"/>
  <c r="AN33" i="24"/>
  <c r="AM33" i="24"/>
  <c r="AJ33" i="24"/>
  <c r="AE33" i="24"/>
  <c r="AD33" i="24"/>
  <c r="AC33" i="24"/>
  <c r="I14" i="5"/>
  <c r="AB27" i="24"/>
  <c r="A8" i="1" s="1"/>
  <c r="D27" i="16"/>
  <c r="D14" i="9"/>
  <c r="C36" i="1"/>
  <c r="E36" i="1"/>
  <c r="C38" i="1"/>
  <c r="E38" i="1"/>
  <c r="AJ19" i="24"/>
  <c r="AI19" i="24"/>
  <c r="AH19" i="24"/>
  <c r="AN19" i="24"/>
  <c r="AD19" i="24"/>
  <c r="AM19" i="24"/>
  <c r="AC19" i="24"/>
  <c r="AK19" i="24"/>
  <c r="AL19" i="24"/>
  <c r="AG19" i="24"/>
  <c r="AF19" i="24"/>
  <c r="AE19" i="24"/>
  <c r="AL25" i="24"/>
  <c r="AK25" i="24"/>
  <c r="AJ25" i="24"/>
  <c r="AF25" i="24"/>
  <c r="AE25" i="24"/>
  <c r="AM25" i="24"/>
  <c r="AC25" i="24"/>
  <c r="AN25" i="24"/>
  <c r="AI25" i="24"/>
  <c r="AH25" i="24"/>
  <c r="AG25" i="24"/>
  <c r="AD25" i="24"/>
  <c r="AI26" i="24" l="1"/>
  <c r="AH26" i="24"/>
  <c r="AG26" i="24"/>
  <c r="AM26" i="24"/>
  <c r="AL26" i="24"/>
  <c r="AJ26" i="24"/>
  <c r="AE26" i="24"/>
  <c r="AD26" i="24"/>
  <c r="AN26" i="24"/>
  <c r="AK26" i="24"/>
  <c r="AF26" i="24"/>
  <c r="AN21" i="24"/>
  <c r="AD21" i="24"/>
  <c r="AM21" i="24"/>
  <c r="AC21" i="24"/>
  <c r="AL21" i="24"/>
  <c r="AH21" i="24"/>
  <c r="AG21" i="24"/>
  <c r="AE21" i="24"/>
  <c r="AK21" i="24"/>
  <c r="AJ21" i="24"/>
  <c r="AI21" i="24"/>
  <c r="AF21" i="24"/>
  <c r="AE14" i="24"/>
  <c r="AN14" i="24"/>
  <c r="AD14" i="24"/>
  <c r="AM14" i="24"/>
  <c r="AC14" i="24"/>
  <c r="AI14" i="24"/>
  <c r="AH14" i="24"/>
  <c r="AF14" i="24"/>
  <c r="AK14" i="24"/>
  <c r="AJ14" i="24"/>
  <c r="AG14" i="24"/>
  <c r="AL14" i="24"/>
  <c r="AF27" i="24"/>
  <c r="AE27" i="24"/>
  <c r="AN27" i="24"/>
  <c r="AD27" i="24"/>
  <c r="AJ27" i="24"/>
  <c r="AI27" i="24"/>
  <c r="AG27" i="24"/>
  <c r="AM27" i="24"/>
  <c r="AL27" i="24"/>
  <c r="AK27" i="24"/>
  <c r="AH27" i="24"/>
  <c r="AC27" i="24"/>
  <c r="D20" i="9"/>
  <c r="P10" i="13"/>
  <c r="A8" i="2"/>
  <c r="AC35" i="24" l="1"/>
  <c r="AC17" i="24"/>
  <c r="AC24" i="24"/>
  <c r="AC15" i="24"/>
  <c r="AC26" i="24"/>
  <c r="E19" i="1" l="1"/>
  <c r="D13" i="1"/>
  <c r="D13" i="2" s="1"/>
  <c r="C13" i="1"/>
  <c r="C13" i="2" s="1"/>
  <c r="D15" i="1"/>
  <c r="D15" i="2" s="1"/>
  <c r="A15" i="1"/>
  <c r="A15" i="2" s="1"/>
  <c r="J17" i="1"/>
  <c r="J17" i="2" s="1"/>
  <c r="H17" i="1"/>
  <c r="H17" i="2" s="1"/>
  <c r="I14" i="1"/>
  <c r="I14" i="2" s="1"/>
  <c r="G18" i="1"/>
  <c r="H16" i="1"/>
  <c r="H16" i="2" s="1"/>
  <c r="F11" i="1"/>
  <c r="F11" i="2" s="1"/>
  <c r="F15" i="1"/>
  <c r="F15" i="2" s="1"/>
  <c r="E18" i="1"/>
  <c r="D10" i="1"/>
  <c r="D10" i="2" s="1"/>
  <c r="C12" i="1"/>
  <c r="C12" i="2" s="1"/>
  <c r="D14" i="1"/>
  <c r="D14" i="2" s="1"/>
  <c r="A14" i="1"/>
  <c r="A14" i="2" s="1"/>
  <c r="J16" i="1"/>
  <c r="J16" i="2" s="1"/>
  <c r="H13" i="1"/>
  <c r="H13" i="2" s="1"/>
  <c r="I13" i="1"/>
  <c r="I13" i="2" s="1"/>
  <c r="G17" i="1"/>
  <c r="G17" i="2" s="1"/>
  <c r="H14" i="1"/>
  <c r="H14" i="2" s="1"/>
  <c r="F20" i="1"/>
  <c r="F17" i="1"/>
  <c r="F17" i="2" s="1"/>
  <c r="E16" i="1"/>
  <c r="E16" i="2" s="1"/>
  <c r="C10" i="1"/>
  <c r="C10" i="2" s="1"/>
  <c r="D11" i="1"/>
  <c r="D11" i="2" s="1"/>
  <c r="J14" i="1"/>
  <c r="J14" i="2" s="1"/>
  <c r="I11" i="1"/>
  <c r="I11" i="2" s="1"/>
  <c r="G20" i="1"/>
  <c r="B14" i="1"/>
  <c r="B14" i="2" s="1"/>
  <c r="A20" i="1"/>
  <c r="B12" i="1"/>
  <c r="B12" i="2" s="1"/>
  <c r="C17" i="1"/>
  <c r="C17" i="2" s="1"/>
  <c r="J21" i="1"/>
  <c r="G12" i="1"/>
  <c r="G12" i="2" s="1"/>
  <c r="E17" i="1"/>
  <c r="E17" i="2" s="1"/>
  <c r="C21" i="1"/>
  <c r="C11" i="1"/>
  <c r="C11" i="2" s="1"/>
  <c r="D12" i="1"/>
  <c r="D12" i="2" s="1"/>
  <c r="A13" i="1"/>
  <c r="A13" i="2" s="1"/>
  <c r="J15" i="1"/>
  <c r="J15" i="2" s="1"/>
  <c r="H10" i="1"/>
  <c r="H10" i="2" s="1"/>
  <c r="I12" i="1"/>
  <c r="I12" i="2" s="1"/>
  <c r="G16" i="1"/>
  <c r="G16" i="2" s="1"/>
  <c r="H11" i="1"/>
  <c r="H11" i="2" s="1"/>
  <c r="F10" i="1"/>
  <c r="F10" i="2" s="1"/>
  <c r="B19" i="1"/>
  <c r="C20" i="1"/>
  <c r="A12" i="1"/>
  <c r="A12" i="2" s="1"/>
  <c r="I21" i="1"/>
  <c r="G15" i="1"/>
  <c r="G15" i="2" s="1"/>
  <c r="B20" i="1"/>
  <c r="D21" i="1"/>
  <c r="J13" i="1"/>
  <c r="J13" i="2" s="1"/>
  <c r="G14" i="1"/>
  <c r="G14" i="2" s="1"/>
  <c r="F18" i="1"/>
  <c r="E14" i="1"/>
  <c r="E14" i="2" s="1"/>
  <c r="D20" i="1"/>
  <c r="J12" i="1"/>
  <c r="J12" i="2" s="1"/>
  <c r="I19" i="1"/>
  <c r="F19" i="1"/>
  <c r="D19" i="1"/>
  <c r="H15" i="1"/>
  <c r="H15" i="2" s="1"/>
  <c r="B18" i="1"/>
  <c r="E12" i="1"/>
  <c r="E12" i="2" s="1"/>
  <c r="C16" i="1"/>
  <c r="C16" i="2" s="1"/>
  <c r="D18" i="1"/>
  <c r="A18" i="1"/>
  <c r="J20" i="1"/>
  <c r="J10" i="1"/>
  <c r="J10" i="2" s="1"/>
  <c r="I17" i="1"/>
  <c r="I17" i="2" s="1"/>
  <c r="H12" i="1"/>
  <c r="H12" i="2" s="1"/>
  <c r="G11" i="1"/>
  <c r="G11" i="2" s="1"/>
  <c r="F12" i="1"/>
  <c r="F12" i="2" s="1"/>
  <c r="B21" i="1"/>
  <c r="B13" i="1"/>
  <c r="B13" i="2" s="1"/>
  <c r="E21" i="1"/>
  <c r="C15" i="1"/>
  <c r="C15" i="2" s="1"/>
  <c r="D17" i="1"/>
  <c r="D17" i="2" s="1"/>
  <c r="A17" i="1"/>
  <c r="A17" i="2" s="1"/>
  <c r="H21" i="1"/>
  <c r="I16" i="1"/>
  <c r="I16" i="2" s="1"/>
  <c r="G10" i="1"/>
  <c r="G10" i="2" s="1"/>
  <c r="F21" i="1"/>
  <c r="C14" i="1"/>
  <c r="C14" i="2" s="1"/>
  <c r="A16" i="1"/>
  <c r="A16" i="2" s="1"/>
  <c r="H19" i="1"/>
  <c r="G19" i="1"/>
  <c r="F16" i="1"/>
  <c r="F16" i="2" s="1"/>
  <c r="E15" i="1"/>
  <c r="E15" i="2" s="1"/>
  <c r="A11" i="1"/>
  <c r="A11" i="2" s="1"/>
  <c r="I10" i="1"/>
  <c r="I10" i="2" s="1"/>
  <c r="B10" i="1"/>
  <c r="B10" i="2" s="1"/>
  <c r="G13" i="1"/>
  <c r="G13" i="2" s="1"/>
  <c r="J11" i="1"/>
  <c r="J11" i="2" s="1"/>
  <c r="B15" i="1"/>
  <c r="B15" i="2" s="1"/>
  <c r="E11" i="1"/>
  <c r="E11" i="2" s="1"/>
  <c r="J19" i="1"/>
  <c r="G21" i="1"/>
  <c r="B16" i="1"/>
  <c r="B16" i="2" s="1"/>
  <c r="E20" i="1"/>
  <c r="E10" i="1"/>
  <c r="E10" i="2" s="1"/>
  <c r="D16" i="1"/>
  <c r="D16" i="2" s="1"/>
  <c r="J18" i="1"/>
  <c r="I15" i="1"/>
  <c r="I15" i="2" s="1"/>
  <c r="H18" i="1"/>
  <c r="B11" i="1"/>
  <c r="B11" i="2" s="1"/>
  <c r="C19" i="1"/>
  <c r="A21" i="1"/>
  <c r="I20" i="1"/>
  <c r="B17" i="1"/>
  <c r="B17" i="2" s="1"/>
  <c r="C18" i="1"/>
  <c r="A10" i="1"/>
  <c r="A10" i="2" s="1"/>
  <c r="H20" i="1"/>
  <c r="F13" i="1"/>
  <c r="F13" i="2" s="1"/>
  <c r="E13" i="1"/>
  <c r="E13" i="2" s="1"/>
  <c r="A19" i="1"/>
  <c r="I18" i="1"/>
  <c r="F14" i="1"/>
  <c r="F14" i="2" s="1"/>
</calcChain>
</file>

<file path=xl/sharedStrings.xml><?xml version="1.0" encoding="utf-8"?>
<sst xmlns="http://schemas.openxmlformats.org/spreadsheetml/2006/main" count="2490" uniqueCount="809">
  <si>
    <t>🏥  HARMONY PLACE  —  ADMISSIONS DASHBOARD</t>
  </si>
  <si>
    <t xml:space="preserve">  🛏  COMMAND CENTER — LIVE CENSUS &amp; FLOW</t>
  </si>
  <si>
    <t>HP Census</t>
  </si>
  <si>
    <t>HPE Census</t>
  </si>
  <si>
    <t>Total</t>
  </si>
  <si>
    <t>Open Beds</t>
  </si>
  <si>
    <t>Reserved</t>
  </si>
  <si>
    <t>Adm MTD</t>
  </si>
  <si>
    <t>Conv %</t>
  </si>
  <si>
    <t>Proj 7d</t>
  </si>
  <si>
    <t>Client</t>
  </si>
  <si>
    <t>Fac</t>
  </si>
  <si>
    <t>Room</t>
  </si>
  <si>
    <t>Admit</t>
  </si>
  <si>
    <t>Day #</t>
  </si>
  <si>
    <t>DC Date</t>
  </si>
  <si>
    <t>To DC</t>
  </si>
  <si>
    <t>Rep</t>
  </si>
  <si>
    <t>LOC</t>
  </si>
  <si>
    <t>Financial</t>
  </si>
  <si>
    <t xml:space="preserve">  📥  SCHEDULED INTAKES — auto-pulled from Pipeline (Status = Scheduled)</t>
  </si>
  <si>
    <t>Insurance</t>
  </si>
  <si>
    <t>Intake</t>
  </si>
  <si>
    <t>VOB</t>
  </si>
  <si>
    <t>Admits</t>
  </si>
  <si>
    <t>Pace</t>
  </si>
  <si>
    <t>Met-CT</t>
  </si>
  <si>
    <t>Met-CT %</t>
  </si>
  <si>
    <t>Amy  (weekdays)</t>
  </si>
  <si>
    <t>Nelson  (weekdays)</t>
  </si>
  <si>
    <t>Matthew  (weekends)</t>
  </si>
  <si>
    <t>Ahbra  (evenings)</t>
  </si>
  <si>
    <t>Amos  (on leave)</t>
  </si>
  <si>
    <t xml:space="preserve">  TEAM</t>
  </si>
  <si>
    <t>📊  OCCUPANCY  &amp;  OPEN-BED REVENUE AT RISK</t>
  </si>
  <si>
    <t>House</t>
  </si>
  <si>
    <t>Occupied</t>
  </si>
  <si>
    <t>Capacity</t>
  </si>
  <si>
    <t>Open</t>
  </si>
  <si>
    <t>Harmony Place (HP)</t>
  </si>
  <si>
    <t>Harmony Place East (HPE)</t>
  </si>
  <si>
    <t>COMBINED</t>
  </si>
  <si>
    <t>Avg reimbursed bed-day rate (edit)</t>
  </si>
  <si>
    <t>Billable days per month (edit)</t>
  </si>
  <si>
    <t>⚠  Open-bed revenue at risk / month</t>
  </si>
  <si>
    <t>Est. monthly billings at current census</t>
  </si>
  <si>
    <t>🔥  PIPELINE FUNNEL   (live)</t>
  </si>
  <si>
    <t>Scheduled</t>
  </si>
  <si>
    <t>Prospect</t>
  </si>
  <si>
    <t>Lead</t>
  </si>
  <si>
    <t>Hold</t>
  </si>
  <si>
    <t>Total active leads</t>
  </si>
  <si>
    <t>⚠  Leads owned by Amos (on leave) — reassign</t>
  </si>
  <si>
    <t>⚠  WATCH FLAGS</t>
  </si>
  <si>
    <t>Blue Shield CA share of this month's admits</t>
  </si>
  <si>
    <t>Pipeline leads on NON-contracted payers</t>
  </si>
  <si>
    <t>Weekday closers active (Amy, Nelson)</t>
  </si>
  <si>
    <t>🤝  BD REFERRALS — Ahbra</t>
  </si>
  <si>
    <t>Referrals SENT (this month)</t>
  </si>
  <si>
    <t>Referrals ADMITTED (auto)</t>
  </si>
  <si>
    <t>Conversion rate</t>
  </si>
  <si>
    <t xml:space="preserve">  📈  PIPELINE &amp; FLOW KPIs</t>
  </si>
  <si>
    <t>New Leads MTD</t>
  </si>
  <si>
    <t>Assessments</t>
  </si>
  <si>
    <t>Admissions MTD</t>
  </si>
  <si>
    <t>Conversion %</t>
  </si>
  <si>
    <t>Sched ≤7d</t>
  </si>
  <si>
    <t>Disch ≤7d</t>
  </si>
  <si>
    <t>Proj Census</t>
  </si>
  <si>
    <t>🏥  HARMONY PLACE  —  ADMISSIONS MEETING</t>
  </si>
  <si>
    <t xml:space="preserve">  🛏   CENSUS SNAPSHOT</t>
  </si>
  <si>
    <t>#</t>
  </si>
  <si>
    <t>Status</t>
  </si>
  <si>
    <t>Referral</t>
  </si>
  <si>
    <t>📝  CENSUS ROSTER  —  the single place you edit</t>
  </si>
  <si>
    <t>Add a client and pick their CURRENT BED to place them.  To move someone, just change their Current Bed — the HP / HPE boards update automatically.  A bed nobody is assigned to shows Open.</t>
  </si>
  <si>
    <t>CLIENT NAME</t>
  </si>
  <si>
    <t>CURRENT BED</t>
  </si>
  <si>
    <t>STATUS</t>
  </si>
  <si>
    <t>ADMIT DATE</t>
  </si>
  <si>
    <t>ADMIT LOC</t>
  </si>
  <si>
    <t>CURRENT LOC</t>
  </si>
  <si>
    <t>PLAN LOS</t>
  </si>
  <si>
    <t>FINANCIAL</t>
  </si>
  <si>
    <t>REFERRAL</t>
  </si>
  <si>
    <t>REP</t>
  </si>
  <si>
    <t>CHIRO Y/N</t>
  </si>
  <si>
    <t>AMA RISK</t>
  </si>
  <si>
    <t>DC LOC</t>
  </si>
  <si>
    <t>DC OVERRIDE</t>
  </si>
  <si>
    <t>DC DATE</t>
  </si>
  <si>
    <t>DAYS TO DC</t>
  </si>
  <si>
    <t>🏠  HP — HATTERAS   (23041 / 23043)</t>
  </si>
  <si>
    <t>Alumni?</t>
  </si>
  <si>
    <t>DTX-A</t>
  </si>
  <si>
    <t>DTX-B</t>
  </si>
  <si>
    <t>Kurt Guisler</t>
  </si>
  <si>
    <t>M1-A</t>
  </si>
  <si>
    <t>DTX/RTC</t>
  </si>
  <si>
    <t>Blue Shield PPO</t>
  </si>
  <si>
    <t>Skyline/Ahbra</t>
  </si>
  <si>
    <t>Amy</t>
  </si>
  <si>
    <t>N</t>
  </si>
  <si>
    <t>Pedro Mendoza</t>
  </si>
  <si>
    <t>M1-B</t>
  </si>
  <si>
    <t>Blue Shield CA</t>
  </si>
  <si>
    <t>Readmit</t>
  </si>
  <si>
    <t>Matthew</t>
  </si>
  <si>
    <t>M2-A</t>
  </si>
  <si>
    <t>Darian Loehner</t>
  </si>
  <si>
    <t>M2-B</t>
  </si>
  <si>
    <t>DTX</t>
  </si>
  <si>
    <t>Aetna</t>
  </si>
  <si>
    <t>Y</t>
  </si>
  <si>
    <t>Jill Labate</t>
  </si>
  <si>
    <t>M3-A</t>
  </si>
  <si>
    <t>Cigna/Evernorth</t>
  </si>
  <si>
    <t>Readmit/Rise</t>
  </si>
  <si>
    <t>Monica Gamboa</t>
  </si>
  <si>
    <t>M3-B</t>
  </si>
  <si>
    <t>Molina CA</t>
  </si>
  <si>
    <t>Bradey Bauer</t>
  </si>
  <si>
    <t>B1-A</t>
  </si>
  <si>
    <t>Anthem BC</t>
  </si>
  <si>
    <t>Garrett Johnson</t>
  </si>
  <si>
    <t>B1-B</t>
  </si>
  <si>
    <t>RTC</t>
  </si>
  <si>
    <t>UHC</t>
  </si>
  <si>
    <t>web</t>
  </si>
  <si>
    <t>Nelson</t>
  </si>
  <si>
    <t>Kyle Samia</t>
  </si>
  <si>
    <t>B2-A</t>
  </si>
  <si>
    <t>Jamal Williams</t>
  </si>
  <si>
    <t>B2-B</t>
  </si>
  <si>
    <t>The Canyon</t>
  </si>
  <si>
    <t>Ahbra</t>
  </si>
  <si>
    <t>Christopher Avolio</t>
  </si>
  <si>
    <t>B3-A</t>
  </si>
  <si>
    <t>Montare</t>
  </si>
  <si>
    <t>Jason Schnell</t>
  </si>
  <si>
    <t>B3-B</t>
  </si>
  <si>
    <t>🏢  HPE — BURBANK · HOUSE 1  (22913)</t>
  </si>
  <si>
    <t>Allisa Leuvrey</t>
  </si>
  <si>
    <t>H1-1A</t>
  </si>
  <si>
    <t>Cree Lamere</t>
  </si>
  <si>
    <t>H1-1B</t>
  </si>
  <si>
    <t>Ahbra/Profound</t>
  </si>
  <si>
    <t>Rhonda Baim</t>
  </si>
  <si>
    <t>H1-2A</t>
  </si>
  <si>
    <t>Web</t>
  </si>
  <si>
    <t>Aaron Dufresne</t>
  </si>
  <si>
    <t>H1-3A</t>
  </si>
  <si>
    <t>UMR/UHC</t>
  </si>
  <si>
    <t>Ahbra/Action IOP</t>
  </si>
  <si>
    <t>H1-3B</t>
  </si>
  <si>
    <t>Jared Hamilton</t>
  </si>
  <si>
    <t>H1-4</t>
  </si>
  <si>
    <t>Rise</t>
  </si>
  <si>
    <t>🏢  HPE — BURBANK · HOUSE 2  (22915)</t>
  </si>
  <si>
    <t>Tara Shinde</t>
  </si>
  <si>
    <t>H2-2A</t>
  </si>
  <si>
    <t>BCBS IL</t>
  </si>
  <si>
    <t>H2-2B</t>
  </si>
  <si>
    <t>Daniel Armiger</t>
  </si>
  <si>
    <t>H2-3A</t>
  </si>
  <si>
    <t>Blayne Olivier</t>
  </si>
  <si>
    <t>H2-3B</t>
  </si>
  <si>
    <t>Molina</t>
  </si>
  <si>
    <t>H2-3C</t>
  </si>
  <si>
    <t>y</t>
  </si>
  <si>
    <t>Jeongwoon Lee</t>
  </si>
  <si>
    <t>H2-4</t>
  </si>
  <si>
    <t>🛏  HP Bed Board  |  23041/23043 Hatteras St  (14 beds)</t>
  </si>
  <si>
    <t>📝  ALL EDITS HAPPEN ON THE ROSTER TAB — this board updates automatically.    🔎 FILTER: click the ▼ buttons on the header row (e.g. STATUS = Open to find vacancies, or REP to see one rep's beds).</t>
  </si>
  <si>
    <t xml:space="preserve">  OPEN — available</t>
  </si>
  <si>
    <t xml:space="preserve">  RESERVED</t>
  </si>
  <si>
    <t xml:space="preserve">  OCCUPIED</t>
  </si>
  <si>
    <t xml:space="preserve">  ⚠ FLAGGED — verify</t>
  </si>
  <si>
    <t>ROOM</t>
  </si>
  <si>
    <t>PLAN
LOS</t>
  </si>
  <si>
    <t>TO DC</t>
  </si>
  <si>
    <t>CHIRO
Y/N</t>
  </si>
  <si>
    <t>AMA
RISK</t>
  </si>
  <si>
    <t>DC
LOC</t>
  </si>
  <si>
    <t>SORT#</t>
  </si>
  <si>
    <t>DC
OVERRIDE</t>
  </si>
  <si>
    <t>📥  SCHEDULED INTAKES</t>
  </si>
  <si>
    <t>Auto-pulled from Pipeline where Status = Scheduled &amp; Facility = HP</t>
  </si>
  <si>
    <t>CLIENT</t>
  </si>
  <si>
    <t>INSURANCE</t>
  </si>
  <si>
    <t>INTAKE</t>
  </si>
  <si>
    <t>🛏  HPE Bed Board  |  22913/22915 Burbank Blvd  (12 beds)</t>
  </si>
  <si>
    <t>Auto-pulled from Pipeline where Status = Scheduled &amp; Facility = HPE</t>
  </si>
  <si>
    <t>🔥  HARMONY PLACE  —  ADMISSIONS PIPELINE</t>
  </si>
  <si>
    <t>Coverage:   Amy &amp; Nelson — weekdays   ·   Ahbra — evenings   ·   Matthew — weekends        (as of pull date)</t>
  </si>
  <si>
    <t>STATUS ▼</t>
  </si>
  <si>
    <t>FACILITY</t>
  </si>
  <si>
    <t>NOTES / NEXT ACTION</t>
  </si>
  <si>
    <t>REFERRAL
SOURCE ▼</t>
  </si>
  <si>
    <t>REFERRAL
SOURCE DETAIL</t>
  </si>
  <si>
    <t>INSURANCE
DETAIL</t>
  </si>
  <si>
    <t>ASSESSMENT
STATUS ▼</t>
  </si>
  <si>
    <t>PRIORITY
SCORE</t>
  </si>
  <si>
    <t>OUTCOME ▼</t>
  </si>
  <si>
    <t>PERSONAL
REFERRAL ▼</t>
  </si>
  <si>
    <t>GREETED
≤24H ▼</t>
  </si>
  <si>
    <t>DATE
ADDED</t>
  </si>
  <si>
    <t>▣  PIPELINE SUMMARY  (auto-updates)</t>
  </si>
  <si>
    <t>Christopher Knight</t>
  </si>
  <si>
    <t>HP</t>
  </si>
  <si>
    <t>✓</t>
  </si>
  <si>
    <t>TBD</t>
  </si>
  <si>
    <t>$300 admit copay then covered at 100%.  Only wants to go to HP.  Meeting with employer on Wednesday for medical leave of absence.</t>
  </si>
  <si>
    <t>Google Organice SEO</t>
  </si>
  <si>
    <t>EPO</t>
  </si>
  <si>
    <t>Not Yet Scheduled</t>
  </si>
  <si>
    <t>No</t>
  </si>
  <si>
    <t>By Stage</t>
  </si>
  <si>
    <t>Nicolas Leuvrey</t>
  </si>
  <si>
    <t>HPE</t>
  </si>
  <si>
    <t>Private Pay</t>
  </si>
  <si>
    <t>$1,000/day for 10 day detox.  31 yo male struggling with 7oh for the last year.</t>
  </si>
  <si>
    <t>Alumni</t>
  </si>
  <si>
    <t>n/a</t>
  </si>
  <si>
    <t>1759.82 remaining of OPM.  Can pay this.  24 y/o female. DOC: ADHD medications/cocaine</t>
  </si>
  <si>
    <t>Google Organic SEO</t>
  </si>
  <si>
    <t>PPO</t>
  </si>
  <si>
    <t>Completed</t>
  </si>
  <si>
    <t>Kimberly Cote</t>
  </si>
  <si>
    <t>UMR</t>
  </si>
  <si>
    <t>employer policy.  Sent for VOB after hours.  Have a follow up call scheduled with her today to go over benefits.  43 y/o abusing xanax prescription and struggling with depression and anxiety.  Located in Texas.</t>
  </si>
  <si>
    <t>Website Direct- Form Fill</t>
  </si>
  <si>
    <t>Andrew Battley</t>
  </si>
  <si>
    <t>Employer policy through his wife.  His wife called in and said he is struggling with cocaine, adderal, xanax and weed.  They are located in MS.  Looking to admit at the end of the week.  Sent for VOB.</t>
  </si>
  <si>
    <t>POS</t>
  </si>
  <si>
    <t>Frederic Spieser</t>
  </si>
  <si>
    <t>51M alcohol; SMART + IOP but still drinking; tour Thursday 10am</t>
  </si>
  <si>
    <t>TOTAL</t>
  </si>
  <si>
    <t>Michael Cardenas</t>
  </si>
  <si>
    <t>54M Army vet (Lt. Commander), PTSD, daily drinking; needs own room; in Colorado</t>
  </si>
  <si>
    <t>Holly Webster</t>
  </si>
  <si>
    <t>34 yo Female, In Maryland, DOC: alcohol. Scheduled assessement 6/17</t>
  </si>
  <si>
    <t>By Rep</t>
  </si>
  <si>
    <t xml:space="preserve">Samuel Lieberman </t>
  </si>
  <si>
    <t xml:space="preserve">Daily use of Ketamine for 2 years. Hx of initiating and not committing to tx. Currently in Brooklyn. </t>
  </si>
  <si>
    <t>PPPO</t>
  </si>
  <si>
    <t>Allison Warren</t>
  </si>
  <si>
    <t>0 ded; $1,500 OPM; covered 100%. 28F alcohol; stabilized after HLOC, ready to focus on SUD</t>
  </si>
  <si>
    <t>Professional Referral</t>
  </si>
  <si>
    <t>Iris / Ahbra</t>
  </si>
  <si>
    <t>HMO</t>
  </si>
  <si>
    <t>Complete</t>
  </si>
  <si>
    <t>Amos</t>
  </si>
  <si>
    <t>Lisa Alden</t>
  </si>
  <si>
    <t>tour HPE Wed. at 3pm</t>
  </si>
  <si>
    <t>Personal/BD</t>
  </si>
  <si>
    <t>Personal/friend</t>
  </si>
  <si>
    <t>Yes</t>
  </si>
  <si>
    <t>Teri Kahana</t>
  </si>
  <si>
    <t>HMSA</t>
  </si>
  <si>
    <t>Scotty/Monarch</t>
  </si>
  <si>
    <t>By Facility</t>
  </si>
  <si>
    <t>VRC</t>
  </si>
  <si>
    <t>📋  MAY 2026 — CONVERSION TRACKER</t>
  </si>
  <si>
    <t>🤝 Ahbra referrals SENT this month →</t>
  </si>
  <si>
    <t>Client Name</t>
  </si>
  <si>
    <t>LOS</t>
  </si>
  <si>
    <t>Meet &amp; Greet</t>
  </si>
  <si>
    <t>Program</t>
  </si>
  <si>
    <t>Ref Cat</t>
  </si>
  <si>
    <t>Referral Source</t>
  </si>
  <si>
    <t>Type</t>
  </si>
  <si>
    <t>Web Source</t>
  </si>
  <si>
    <t>ROR</t>
  </si>
  <si>
    <t>Private Room $</t>
  </si>
  <si>
    <t>Deductible</t>
  </si>
  <si>
    <t>Copay</t>
  </si>
  <si>
    <t>OPM Collected</t>
  </si>
  <si>
    <t>Total Cash</t>
  </si>
  <si>
    <t>Notes</t>
  </si>
  <si>
    <t>Tier</t>
  </si>
  <si>
    <t>Amber Buffalo</t>
  </si>
  <si>
    <t>Josh Pierce</t>
  </si>
  <si>
    <t>Google Ads</t>
  </si>
  <si>
    <t>met same day</t>
  </si>
  <si>
    <t>New</t>
  </si>
  <si>
    <t>Steve J.</t>
  </si>
  <si>
    <t>Brittany Watkins</t>
  </si>
  <si>
    <t>DTX RTC</t>
  </si>
  <si>
    <t>Matt Allen</t>
  </si>
  <si>
    <t>Gerardo Jimenez</t>
  </si>
  <si>
    <t>dentist apt delay</t>
  </si>
  <si>
    <t>Nicholas Guerra</t>
  </si>
  <si>
    <t>George Sutherland</t>
  </si>
  <si>
    <t>Google SEO</t>
  </si>
  <si>
    <t>Jake Sorkin</t>
  </si>
  <si>
    <t>DBH/Ahbra</t>
  </si>
  <si>
    <t>Daniel Feingersh</t>
  </si>
  <si>
    <t>UHC/Optum</t>
  </si>
  <si>
    <t>Jordan Sutphen</t>
  </si>
  <si>
    <t>Melissa/Ladder House</t>
  </si>
  <si>
    <t>Sat admit</t>
  </si>
  <si>
    <t>Nathaniel Varela</t>
  </si>
  <si>
    <t>Ladder House</t>
  </si>
  <si>
    <t>Rhiyen Sharp</t>
  </si>
  <si>
    <t>Alan Cervantes</t>
  </si>
  <si>
    <t>Dr. Jessica Wang</t>
  </si>
  <si>
    <t>Sara Gordon</t>
  </si>
  <si>
    <t>readmit/Rise</t>
  </si>
  <si>
    <t>Ellie Ferrero</t>
  </si>
  <si>
    <t>Split</t>
  </si>
  <si>
    <t>Christopher Anderson</t>
  </si>
  <si>
    <t>Readmit/Ahbra</t>
  </si>
  <si>
    <t>Amir Jawhary</t>
  </si>
  <si>
    <t>Cash Pay</t>
  </si>
  <si>
    <t>Met at door</t>
  </si>
  <si>
    <t>Zachary Kane</t>
  </si>
  <si>
    <t>PHP/IOP secured</t>
  </si>
  <si>
    <t>Jodana Sykes</t>
  </si>
  <si>
    <t>did not meet ct</t>
  </si>
  <si>
    <t>Brian Tethers</t>
  </si>
  <si>
    <t>Michelle Onesto</t>
  </si>
  <si>
    <t>Yelp</t>
  </si>
  <si>
    <t>met next day</t>
  </si>
  <si>
    <t>met 2 days later</t>
  </si>
  <si>
    <t>Montare/Ahbra</t>
  </si>
  <si>
    <t>met upon admit</t>
  </si>
  <si>
    <t>Jonathan Serrano</t>
  </si>
  <si>
    <t>Profound/Ahbra</t>
  </si>
  <si>
    <t>met day after</t>
  </si>
  <si>
    <t>Action IOP/Ahbra</t>
  </si>
  <si>
    <t>met Tuesday</t>
  </si>
  <si>
    <t>readmit</t>
  </si>
  <si>
    <t>Google GMB</t>
  </si>
  <si>
    <t>📋  JUNE 2026 — CONVERSION TRACKER</t>
  </si>
  <si>
    <t>Sean Darling</t>
  </si>
  <si>
    <t>Destiny Recovery / Ahbra</t>
  </si>
  <si>
    <t>Bejan Tajipour</t>
  </si>
  <si>
    <t>met ct same day · DC’d ~6/10 (date needed)</t>
  </si>
  <si>
    <t>Darian Tucker</t>
  </si>
  <si>
    <t>EleMental Treatment Center / Ahbra</t>
  </si>
  <si>
    <t>NEEDS: Met-CT, financials</t>
  </si>
  <si>
    <t>met ct at the door</t>
  </si>
  <si>
    <t>The Canyon · NEEDS: closer, Met-CT, financials</t>
  </si>
  <si>
    <t>Cigna</t>
  </si>
  <si>
    <t>Nelson met this ct</t>
  </si>
  <si>
    <t>met ct next day (&gt;24h — verify)</t>
  </si>
  <si>
    <t>Anthem MPI</t>
  </si>
  <si>
    <t>🏆  ADMISSIONS LEADERBOARD</t>
  </si>
  <si>
    <t>Month:</t>
  </si>
  <si>
    <t>(current month · auto-updates)</t>
  </si>
  <si>
    <t>Rank</t>
  </si>
  <si>
    <t>Goal</t>
  </si>
  <si>
    <t>Progress to Goal</t>
  </si>
  <si>
    <t>Active</t>
  </si>
  <si>
    <t>Remote (MX)</t>
  </si>
  <si>
    <t>On Leave → ~Aug</t>
  </si>
  <si>
    <t>PRN — no comm.</t>
  </si>
  <si>
    <t>TEAM</t>
  </si>
  <si>
    <t xml:space="preserve">  🎖   THIS MONTH'S BADGES</t>
  </si>
  <si>
    <t>🥇 Top Closer</t>
  </si>
  <si>
    <t>⚡ Quality (Met-CT)</t>
  </si>
  <si>
    <t xml:space="preserve">  📈   YEAR-TO-DATE  (admits)</t>
  </si>
  <si>
    <t>YTD</t>
  </si>
  <si>
    <t>Avg/Mo</t>
  </si>
  <si>
    <t>Proj Yr</t>
  </si>
  <si>
    <t>vs last yr</t>
  </si>
  <si>
    <t xml:space="preserve">   ADMISSION CONTROL  —  INSIGHTS   (live, updates as you use the workbook)</t>
  </si>
  <si>
    <t xml:space="preserve">  OCCUPANCY  &amp;  OPEN-BED REVENUE AT RISK</t>
  </si>
  <si>
    <t>Occupancy</t>
  </si>
  <si>
    <t>Assumptions (edit these):</t>
  </si>
  <si>
    <t>Avg reimbursed bed-day rate</t>
  </si>
  <si>
    <t>Billable days per month</t>
  </si>
  <si>
    <t>Cash collected</t>
  </si>
  <si>
    <t xml:space="preserve">  PIPELINE FUNNEL   (live)</t>
  </si>
  <si>
    <t xml:space="preserve">  WATCH FLAGS</t>
  </si>
  <si>
    <t>Blue Shield CA share of this month’s admits</t>
  </si>
  <si>
    <t xml:space="preserve">  ADMISSION CONTROL  —  THE ADMISSIONS WORKBOOK</t>
  </si>
  <si>
    <t xml:space="preserve">  HOW THE WORKBOOK FLOWS   (START HERE)</t>
  </si>
  <si>
    <t>1.  Phone rings — the call is captured in Call Tracking Metrics (CTM), outside this workbook.</t>
  </si>
  <si>
    <t>2.  🔥 PIPELINE — catalogue every qualified lead from CTM here, one row each.  (CTM can't live-link to Excel; export a</t>
  </si>
  <si>
    <t xml:space="preserve">     CSV from CTM and paste it in, or type leads directly. Set each lead's STATUS as it moves Lead → Prospect → Scheduled.)</t>
  </si>
  <si>
    <t>3.  📋 MONTH TAB — when a lead admits, log them on the current month's Conversion Tracker. This is the ONLY sheet you</t>
  </si>
  <si>
    <t xml:space="preserve">     type admits into; it feeds the Leaderboard, the Dashboard and the YTD Rollup.</t>
  </si>
  <si>
    <t>4.  LOS is automatic — leave DC DATE blank while the client is in-house and LOS counts up from the admit date on its own.</t>
  </si>
  <si>
    <t xml:space="preserve">     Enter the DC DATE at discharge and LOS locks to the actual length of stay.</t>
  </si>
  <si>
    <t>5.  🛏 BED BOARD — once placed in a house, add the client to HP or HPE. Rooms can change anytime: retype the patient into</t>
  </si>
  <si>
    <t xml:space="preserve">     the new room's row and clear the old one. Census and open beds update live, up to the minute.</t>
  </si>
  <si>
    <t xml:space="preserve">  WHAT YOU TYPE   vs   WHAT'S AUTOMATIC</t>
  </si>
  <si>
    <t>You type:  leads (Pipeline) · admits (current month tab) · bed placement &amp; moves (Bed Boards) · dropdown lists (⚙ Lists, rarely).</t>
  </si>
  <si>
    <t>Automatic:  LOS · census &amp; open beds · discharge countdowns · scheduling — all update on their own.</t>
  </si>
  <si>
    <t xml:space="preserve">  WHERE THINGS LIVE</t>
  </si>
  <si>
    <t>📊 Dashboard — today's snapshot: census, who's discharging soon, scheduled intakes, and open beds.</t>
  </si>
  <si>
    <t>🛏 HP / HPE Bed Boards — every bed and who's in it.    🔥 Pipeline — leads &amp; prospects.</t>
  </si>
  <si>
    <t>📋 Month tabs (May 2026 …) — log every admit here.    🏆 Leaderboard — rep standings (admits).</t>
  </si>
  <si>
    <t>⚙ Lists — the master dropdown lists.    📈 YTD Rollup — admits by month, all year.</t>
  </si>
  <si>
    <t xml:space="preserve">  BED BOARDS</t>
  </si>
  <si>
    <t>Colors:  GREEN = open · BLUE = reserved · white = occupied · AMBER/RED = a flag to check.</t>
  </si>
  <si>
    <t>Move a patient:  rooms are fixed — type the patient's info into the new room's row, clear the old row (it turns green = open).</t>
  </si>
  <si>
    <t>Filter:  click ▼ on any header (STATUS = Open to see vacancies, or REP to see one rep's beds).</t>
  </si>
  <si>
    <t>DC date is automatic:  set PLAN LOS and the DC DATE + 'TO DC' countdown fill in by themselves.</t>
  </si>
  <si>
    <t xml:space="preserve">  LOG AN ADMIT</t>
  </si>
  <si>
    <t>Current month tab, ONE row: client, admit date, Met-CT (Y/N), program, LOC, rep, insurance, and any money collected</t>
  </si>
  <si>
    <t>(Deductible / Copay / OPM / Private Pay / Private Room $).  LOS and Total Cash fill in automatically.</t>
  </si>
  <si>
    <t xml:space="preserve">  CHANGING DROPDOWNS  ·  TIP</t>
  </si>
  <si>
    <t>Edit ⚙ Lists once and every dropdown updates (reps, rooms, insurances, statuses).</t>
  </si>
  <si>
    <t>If a number looks stale after big edits, press Ctrl+Alt+F9 to force a full recalc.</t>
  </si>
  <si>
    <t xml:space="preserve">  BEHIND THE SCENES  —  PLEASE DON'T TOUCH</t>
  </si>
  <si>
    <t>⚙ Lists, ⚙ Census Engine, and ⚙ Pipeline Engine are hidden sheets that run the math (dropdowns, live census, discharge watch, scheduled intakes). Leave them hidden — don't delete or edit them. Keep updating the Bed Boards, Pipeline, and month tabs, and everything else fills in automatically.</t>
  </si>
  <si>
    <t>🛏  BED MAP — live room/bed status</t>
  </si>
  <si>
    <t xml:space="preserve">  HARMONY PLACE (HP)</t>
  </si>
  <si>
    <t>Census</t>
  </si>
  <si>
    <t>BED A</t>
  </si>
  <si>
    <t>BED B</t>
  </si>
  <si>
    <t>M1</t>
  </si>
  <si>
    <t>M2</t>
  </si>
  <si>
    <t>M3</t>
  </si>
  <si>
    <t>B1</t>
  </si>
  <si>
    <t>B2</t>
  </si>
  <si>
    <t>B3</t>
  </si>
  <si>
    <t xml:space="preserve">  HARMONY PLACE EAST (HPE)</t>
  </si>
  <si>
    <t>BED</t>
  </si>
  <si>
    <t>📈  2026 ROLLING YTD  —  Admits by Rep by Month</t>
  </si>
  <si>
    <t>Jan–Apr = entered actuals (Marielle excluded — termed). May–Dec auto-count live from each month's Conversion Tracker tab. YTD, average &amp; projection auto-calculate.</t>
  </si>
  <si>
    <t>Jan</t>
  </si>
  <si>
    <t>Feb</t>
  </si>
  <si>
    <t>Mar</t>
  </si>
  <si>
    <t>Apr</t>
  </si>
  <si>
    <t>May</t>
  </si>
  <si>
    <t>Jun</t>
  </si>
  <si>
    <t>Jul</t>
  </si>
  <si>
    <t>Aug</t>
  </si>
  <si>
    <t>Sep</t>
  </si>
  <si>
    <t>Oct</t>
  </si>
  <si>
    <t>Nov</t>
  </si>
  <si>
    <t>Dec</t>
  </si>
  <si>
    <t>📋  ADMISSION CONTROL  |  INSURANCE CONTRACTS &amp; RATES  —  HP &amp; HPE</t>
  </si>
  <si>
    <t xml:space="preserve">  🟢 OK TO ADMIT  |  🔴 DO NOT ADMIT  |  🟡 OON / Pending  |  Updated from Google Sheets bed board  —  Last reviewed May 2026</t>
  </si>
  <si>
    <t xml:space="preserve">  💰  CONTRACTED RATES  —  Per Diem by Level of Care</t>
  </si>
  <si>
    <t xml:space="preserve">  Rates shown are contracted per diem rates. Verify current rates with billing before admission.</t>
  </si>
  <si>
    <t>Detox (DTX)</t>
  </si>
  <si>
    <t>RTC/Res</t>
  </si>
  <si>
    <t>PHP</t>
  </si>
  <si>
    <t>IOP</t>
  </si>
  <si>
    <t>Anthem</t>
  </si>
  <si>
    <t>$1,224</t>
  </si>
  <si>
    <t>$1,122</t>
  </si>
  <si>
    <t>$816</t>
  </si>
  <si>
    <t>$434</t>
  </si>
  <si>
    <t>Detox $1,200 | RTC $1,100</t>
  </si>
  <si>
    <t>Blue Shield</t>
  </si>
  <si>
    <t>—</t>
  </si>
  <si>
    <t>$700</t>
  </si>
  <si>
    <t>$400</t>
  </si>
  <si>
    <t>$300</t>
  </si>
  <si>
    <t>CARF required for DTX</t>
  </si>
  <si>
    <t>$725</t>
  </si>
  <si>
    <t>$450</t>
  </si>
  <si>
    <t>$345</t>
  </si>
  <si>
    <t>Detox eff 6/1/2023 at HP</t>
  </si>
  <si>
    <t>Kaiser</t>
  </si>
  <si>
    <t>$1,020</t>
  </si>
  <si>
    <t>$945</t>
  </si>
  <si>
    <t>$473</t>
  </si>
  <si>
    <t>$341</t>
  </si>
  <si>
    <t>DTX + RTC only — no PHP</t>
  </si>
  <si>
    <t>Carelon/Beacon</t>
  </si>
  <si>
    <t>$595</t>
  </si>
  <si>
    <t>$285</t>
  </si>
  <si>
    <t>HP: RTC + PHP only (no DTX)</t>
  </si>
  <si>
    <t>Humana</t>
  </si>
  <si>
    <t>$920</t>
  </si>
  <si>
    <t>$550</t>
  </si>
  <si>
    <t>DO NOT ADMIT — no longer accepting</t>
  </si>
  <si>
    <t>First Health</t>
  </si>
  <si>
    <t>$1,500</t>
  </si>
  <si>
    <t>$1,050</t>
  </si>
  <si>
    <t>$375</t>
  </si>
  <si>
    <t>Carve-out</t>
  </si>
  <si>
    <t>HMC/Uprise</t>
  </si>
  <si>
    <t>$1,300</t>
  </si>
  <si>
    <t>$475</t>
  </si>
  <si>
    <t>$350</t>
  </si>
  <si>
    <t>HPE only for DTX+RTC — under Manifest</t>
  </si>
  <si>
    <t>Optum (HP only)</t>
  </si>
  <si>
    <t>$951</t>
  </si>
  <si>
    <t>$452</t>
  </si>
  <si>
    <t>$299</t>
  </si>
  <si>
    <t>HP only — HPE OON</t>
  </si>
  <si>
    <t>$1,003</t>
  </si>
  <si>
    <t>$750</t>
  </si>
  <si>
    <t>$500</t>
  </si>
  <si>
    <t>HP only — HPE OON per Jeff</t>
  </si>
  <si>
    <t>$900</t>
  </si>
  <si>
    <t>$1,100</t>
  </si>
  <si>
    <t>$200</t>
  </si>
  <si>
    <t>Eff 11/1/2024 all locations</t>
  </si>
  <si>
    <t>Magellan</t>
  </si>
  <si>
    <t>$640</t>
  </si>
  <si>
    <t>$600</t>
  </si>
  <si>
    <t>$425</t>
  </si>
  <si>
    <t>$250</t>
  </si>
  <si>
    <t>Blue Shield carve-out</t>
  </si>
  <si>
    <t>ComPsych</t>
  </si>
  <si>
    <t>$1,185</t>
  </si>
  <si>
    <t>$876</t>
  </si>
  <si>
    <t>Tricare/TriWest</t>
  </si>
  <si>
    <t>✅</t>
  </si>
  <si>
    <t>*Pre-auth req for DTX — eff 11/1/2025</t>
  </si>
  <si>
    <t xml:space="preserve">  🏥  HP — HARMONY PLACE (Hatteras)  |  JMG Investments  TIN: 38-3941572  NPI: 1386041580</t>
  </si>
  <si>
    <t>Payer / Insurance</t>
  </si>
  <si>
    <t>Eff. Date</t>
  </si>
  <si>
    <t>✅ Aetna</t>
  </si>
  <si>
    <t>8/15/2022</t>
  </si>
  <si>
    <t>X</t>
  </si>
  <si>
    <t>Detox eff 6/1/2023 | SUD &amp; MH</t>
  </si>
  <si>
    <t>✅ Anthem</t>
  </si>
  <si>
    <t>3/15/2021</t>
  </si>
  <si>
    <t>Under Monterey contract | PHP added 3/4/22</t>
  </si>
  <si>
    <t>✅ Blue Shield</t>
  </si>
  <si>
    <t>10/15/2025</t>
  </si>
  <si>
    <t>CARF required for Detox</t>
  </si>
  <si>
    <t>✅ Carelon/Beacon</t>
  </si>
  <si>
    <t>9/30/2022</t>
  </si>
  <si>
    <t>No DTX as of 1/19/2024</t>
  </si>
  <si>
    <t>✅ Cigna/Evernorth</t>
  </si>
  <si>
    <t>8/10/2024</t>
  </si>
  <si>
    <t>Covers both 23041 &amp; 23043</t>
  </si>
  <si>
    <t>✅ ComPsych</t>
  </si>
  <si>
    <t>3/23/2021</t>
  </si>
  <si>
    <t>✅ First Health</t>
  </si>
  <si>
    <t>11/15/2021</t>
  </si>
  <si>
    <t>RTC = SUD &amp; MH</t>
  </si>
  <si>
    <t>🔴 HealthNet</t>
  </si>
  <si>
    <t>N/A</t>
  </si>
  <si>
    <t>Application on hold Q4 2025</t>
  </si>
  <si>
    <t>🔴 Kaiser</t>
  </si>
  <si>
    <t>12/1/2023</t>
  </si>
  <si>
    <t>No longer INN — DO NOT ADMIT</t>
  </si>
  <si>
    <t>🔴 HMC/Uprise</t>
  </si>
  <si>
    <t>DO NOT ADMIT</t>
  </si>
  <si>
    <t>🔴 Humana</t>
  </si>
  <si>
    <t>OON</t>
  </si>
  <si>
    <t>DO NOT ADMIT — OON</t>
  </si>
  <si>
    <t>✅ Magellan</t>
  </si>
  <si>
    <t>5/16/2025</t>
  </si>
  <si>
    <t>🔴 MHN</t>
  </si>
  <si>
    <t>Cancelled</t>
  </si>
  <si>
    <t>CONTRACT CANCELLED BY PAYER</t>
  </si>
  <si>
    <t>✅ Molina</t>
  </si>
  <si>
    <t>11/1/2024</t>
  </si>
  <si>
    <t>✅ Multiplan</t>
  </si>
  <si>
    <t>10/15/2019</t>
  </si>
  <si>
    <t>PHP &amp; RTC = SUD &amp; MH</t>
  </si>
  <si>
    <t>✅ Optum</t>
  </si>
  <si>
    <t>7/15/2024</t>
  </si>
  <si>
    <t>RTC 3.5 only — No DTX</t>
  </si>
  <si>
    <t>🔵 Oscar</t>
  </si>
  <si>
    <t>Applications in progress</t>
  </si>
  <si>
    <t>✅ Tricare/TriWest</t>
  </si>
  <si>
    <t>11/1/2025</t>
  </si>
  <si>
    <t>*</t>
  </si>
  <si>
    <t>*Pre-auth req for DTX</t>
  </si>
  <si>
    <t xml:space="preserve">  🏥  HPE — HARMONY PLACE EAST (Burbank)  |  Dolorosa Operations  TIN: 81-2343037  NPI: 1932656170</t>
  </si>
  <si>
    <t>6/1/2023</t>
  </si>
  <si>
    <t>Both 22913 &amp; 22915 loaded — confirmed 6/5/23</t>
  </si>
  <si>
    <t>11/18/2022</t>
  </si>
  <si>
    <t>PHP updated 2/9/2024 | Address updated to Burbank</t>
  </si>
  <si>
    <t>4/14/2023</t>
  </si>
  <si>
    <t>No PHP</t>
  </si>
  <si>
    <t>🟡 Cigna/Evernorth</t>
  </si>
  <si>
    <t>Jeff wants to stay OON at this location</t>
  </si>
  <si>
    <t>Address updated to Burbank Blvd</t>
  </si>
  <si>
    <t>11/1/2022</t>
  </si>
  <si>
    <t>Rates confirmed &amp; loaded 5/30/23</t>
  </si>
  <si>
    <t>Still under Manifest — unresponsive</t>
  </si>
  <si>
    <t>6/3/2025</t>
  </si>
  <si>
    <t>Agreement received 11/7/24</t>
  </si>
  <si>
    <t>3/27/2023</t>
  </si>
  <si>
    <t>22915 added 4/4/23</t>
  </si>
  <si>
    <t>🟡 Optum</t>
  </si>
  <si>
    <t>Per Jeff Schwartz — stay OON</t>
  </si>
  <si>
    <t xml:space="preserve">  🏥  VRC — VALLEY RESTORATION CENTER (Woodland Hills)  |  NPI: 1417328618  TIN: 47-5188505  |  PHP &amp; IOP ONLY — No DTX/RTC</t>
  </si>
  <si>
    <t>8/1/2022</t>
  </si>
  <si>
    <t>SUD &amp; MH</t>
  </si>
  <si>
    <t>2/9/2024</t>
  </si>
  <si>
    <t>11/29/2022</t>
  </si>
  <si>
    <t>7/30/2024</t>
  </si>
  <si>
    <t>SUD &amp; Dual Dx</t>
  </si>
  <si>
    <t>Application on hold</t>
  </si>
  <si>
    <t>✅ Kaiser</t>
  </si>
  <si>
    <t>3/19/2025</t>
  </si>
  <si>
    <t>3/1/2025</t>
  </si>
  <si>
    <t>11/15/2019</t>
  </si>
  <si>
    <t>PHP &amp; IOP = SUD &amp; MH</t>
  </si>
  <si>
    <t>8/15/2024</t>
  </si>
  <si>
    <t xml:space="preserve">  🔍  INSURANCE PREFIX LOOKUP  —  Identify carrier from member ID prefix</t>
  </si>
  <si>
    <t xml:space="preserve">  Use the 3-letter prefix on the insurance card to quickly identify the correct carrier and whether we can admit</t>
  </si>
  <si>
    <t>Prefix</t>
  </si>
  <si>
    <t>Carrier</t>
  </si>
  <si>
    <t>State</t>
  </si>
  <si>
    <t>Carve-Out</t>
  </si>
  <si>
    <t>Can Admit?</t>
  </si>
  <si>
    <t>JQO</t>
  </si>
  <si>
    <t>California</t>
  </si>
  <si>
    <t>NO</t>
  </si>
  <si>
    <t>Pathways — DO NOT ADMIT</t>
  </si>
  <si>
    <t>JQU</t>
  </si>
  <si>
    <t>YES</t>
  </si>
  <si>
    <t>Anthem CA Group policy</t>
  </si>
  <si>
    <t>MPI</t>
  </si>
  <si>
    <t>Optum</t>
  </si>
  <si>
    <t>Motion Picture Industry — OON at HPE</t>
  </si>
  <si>
    <t>NCF</t>
  </si>
  <si>
    <t>Any</t>
  </si>
  <si>
    <t>LAUSD / City of LA</t>
  </si>
  <si>
    <t>NSA</t>
  </si>
  <si>
    <t>SAG policies</t>
  </si>
  <si>
    <t>WRX</t>
  </si>
  <si>
    <t>Writer's Guild policy</t>
  </si>
  <si>
    <t>XED</t>
  </si>
  <si>
    <t>Has OON benefits</t>
  </si>
  <si>
    <t>XEH</t>
  </si>
  <si>
    <t>Run VOB to confirm Magellan</t>
  </si>
  <si>
    <t>XEK</t>
  </si>
  <si>
    <t>Private insurance, off exchange</t>
  </si>
  <si>
    <t>XEO</t>
  </si>
  <si>
    <t>On exchange</t>
  </si>
  <si>
    <t>XEQ</t>
  </si>
  <si>
    <t>Marketplace CA Blue Shield Trio HMO</t>
  </si>
  <si>
    <t>BEG</t>
  </si>
  <si>
    <t>BCBS</t>
  </si>
  <si>
    <t>Alabama</t>
  </si>
  <si>
    <t>PARTIAL</t>
  </si>
  <si>
    <t>Only covers PHP/IOP</t>
  </si>
  <si>
    <t>GHP</t>
  </si>
  <si>
    <t>Michigan</t>
  </si>
  <si>
    <t>QMF</t>
  </si>
  <si>
    <t>Illinois</t>
  </si>
  <si>
    <t>Both</t>
  </si>
  <si>
    <t>HMO = no OOS benefits; PPO very difficult</t>
  </si>
  <si>
    <t>YUQ</t>
  </si>
  <si>
    <t>Oklahoma</t>
  </si>
  <si>
    <t>No OOS benefits as of Jan 1 2025</t>
  </si>
  <si>
    <t>YUN</t>
  </si>
  <si>
    <t xml:space="preserve">  ⛔  DO NOT ADMIT  —  Anthem/BCBS Plans That Are Excluded</t>
  </si>
  <si>
    <t>Plan</t>
  </si>
  <si>
    <t>Reason</t>
  </si>
  <si>
    <t>BCBS Delaware</t>
  </si>
  <si>
    <t>Do not accept for any LOC</t>
  </si>
  <si>
    <t>BCBS Oklahoma</t>
  </si>
  <si>
    <t>BCBS Alabama</t>
  </si>
  <si>
    <t>Only covers PHP/IOP — no DTX/RTC</t>
  </si>
  <si>
    <t>BCBS Montana</t>
  </si>
  <si>
    <t>BCBS North Carolina</t>
  </si>
  <si>
    <t>BCBS Federal</t>
  </si>
  <si>
    <t>Anthem HMO Select Plus</t>
  </si>
  <si>
    <t>Anthem HMO Vivity</t>
  </si>
  <si>
    <t>Anthem HMO Pathways</t>
  </si>
  <si>
    <t>Do not accept for any LOC (prefix JQO)</t>
  </si>
  <si>
    <t>Anthem HMO Elements Choice Priority Select</t>
  </si>
  <si>
    <t>LA Care Medi-cal</t>
  </si>
  <si>
    <t>Kaiser Medi-cal</t>
  </si>
  <si>
    <t>MHN / HealthNet</t>
  </si>
  <si>
    <t>Contract cancelled by payer</t>
  </si>
  <si>
    <t>🗓  HARMONY PLACE ADMISSIONS — TEAM SCHEDULE  |  Amos Leave Period (May–Aug 2026)</t>
  </si>
  <si>
    <t xml:space="preserve">  Amy: 40hrs/wk  ·  Nelson: 40hrs/wk  ·  Matthew: 22hrs/wk (Wed eve + Sat/Sun)  ·  Ahbra: 7hrs/wk PRN (Mon/Thu/Fri eves)  ·  ROR = Ring of Responsibility</t>
  </si>
  <si>
    <t>Monday</t>
  </si>
  <si>
    <t>Tuesday</t>
  </si>
  <si>
    <t>Wednesday</t>
  </si>
  <si>
    <t>Thursday</t>
  </si>
  <si>
    <t>Friday</t>
  </si>
  <si>
    <t>Saturday</t>
  </si>
  <si>
    <t>Sunday</t>
  </si>
  <si>
    <t>TIME</t>
  </si>
  <si>
    <t>7:00 AM</t>
  </si>
  <si>
    <t>9:00 AM</t>
  </si>
  <si>
    <t>9am–6pm</t>
  </si>
  <si>
    <t>11am–7pm</t>
  </si>
  <si>
    <t>9am–5pm</t>
  </si>
  <si>
    <t>9am–4pm</t>
  </si>
  <si>
    <t>9am–7pm</t>
  </si>
  <si>
    <t>10:00 AM</t>
  </si>
  <si>
    <t>10am–6pm</t>
  </si>
  <si>
    <t>12:00 PM</t>
  </si>
  <si>
    <t>2:00 PM</t>
  </si>
  <si>
    <t>2–5pm PRN</t>
  </si>
  <si>
    <t>4:00 PM</t>
  </si>
  <si>
    <t>4–7pm
⭐ Weekly Mtg</t>
  </si>
  <si>
    <t>5:00 PM</t>
  </si>
  <si>
    <t>5–7pm
⭐ Weekly Mtg</t>
  </si>
  <si>
    <t>5–7pm</t>
  </si>
  <si>
    <t>⭐ Weekly Mtg</t>
  </si>
  <si>
    <t>6:00 PM</t>
  </si>
  <si>
    <t>⭐ Admissions
Meeting</t>
  </si>
  <si>
    <t>7:00 PM</t>
  </si>
  <si>
    <t xml:space="preserve">  ⚠️  SCHEDULE EXCEPTIONS &amp; AHBRA CONFLICTS</t>
  </si>
  <si>
    <t>Fri May 29</t>
  </si>
  <si>
    <t>Amy 11am–7pm</t>
  </si>
  <si>
    <t xml:space="preserve">  → Ahbra at WCSAD</t>
  </si>
  <si>
    <t>Thu Jun 11</t>
  </si>
  <si>
    <t>Matthew 5–7pm covers</t>
  </si>
  <si>
    <t xml:space="preserve">  → Ahbra has H&amp;I</t>
  </si>
  <si>
    <t>Mon Jun 15</t>
  </si>
  <si>
    <t xml:space="preserve">  → Ahbra H&amp;I — last meeting as chair</t>
  </si>
  <si>
    <t>Thu Jul 2</t>
  </si>
  <si>
    <t xml:space="preserve">  → Ahbra surgery Jun 30</t>
  </si>
  <si>
    <t>Thu Jul 9</t>
  </si>
  <si>
    <t>Thu Aug 13</t>
  </si>
  <si>
    <t>🏥  HARMONY PLACE — LIVE BED STATUS</t>
  </si>
  <si>
    <t xml:space="preserve">  🛏  HP — HATTERAS ST  (14 beds)</t>
  </si>
  <si>
    <t>DC / DAYS</t>
  </si>
  <si>
    <t xml:space="preserve">  🛏  HPE — BURBANK BLVD  (12 beds)</t>
  </si>
  <si>
    <t xml:space="preserve">  📋  SCHEDULED INTAKES</t>
  </si>
  <si>
    <t xml:space="preserve">  ℹ️  This tab updates automatically when the file is saved or refreshed.</t>
  </si>
  <si>
    <t>⚙  MASTER LISTS  —  Edit here to update every dropdown in the workbook</t>
  </si>
  <si>
    <t>REPS</t>
  </si>
  <si>
    <t>INSURANCE_OK</t>
  </si>
  <si>
    <t>INS_TYPE</t>
  </si>
  <si>
    <t>REF_CAT</t>
  </si>
  <si>
    <t>TEMP</t>
  </si>
  <si>
    <t>YESNO</t>
  </si>
  <si>
    <t>STAGE</t>
  </si>
  <si>
    <t>NON_CONTRACTED (insurance)</t>
  </si>
  <si>
    <t>ACTIVE_REPS</t>
  </si>
  <si>
    <t>DO NOT READMIT — Client Blocklist</t>
  </si>
  <si>
    <t>CLOSERS</t>
  </si>
  <si>
    <t>HP_ROOMS</t>
  </si>
  <si>
    <t>HPE_ROOMS</t>
  </si>
  <si>
    <t>PLAN_LOS</t>
  </si>
  <si>
    <t>MONTHS</t>
  </si>
  <si>
    <t>ALL_BEDS</t>
  </si>
  <si>
    <t>SITE</t>
  </si>
  <si>
    <t>AS_OF_DATE (edit to freeze boards to a date; defaults to today)</t>
  </si>
  <si>
    <t>Hot</t>
  </si>
  <si>
    <t>Intro Call</t>
  </si>
  <si>
    <t>Last Admit/Contact</t>
  </si>
  <si>
    <t>Requested By</t>
  </si>
  <si>
    <t>📋 May 2026</t>
  </si>
  <si>
    <t>Warm</t>
  </si>
  <si>
    <t>Gaston "Gus" Ruggeri</t>
  </si>
  <si>
    <t>Do not readmit</t>
  </si>
  <si>
    <t>AMA history — flagged by Jeff (note: Amy Waters disputes accuracy)</t>
  </si>
  <si>
    <t>Jeff</t>
  </si>
  <si>
    <t>📋 Jun 2026</t>
  </si>
  <si>
    <t>Cold</t>
  </si>
  <si>
    <t>Assessment</t>
  </si>
  <si>
    <t>HealthNet</t>
  </si>
  <si>
    <t>Brittany Golden</t>
  </si>
  <si>
    <t>Reported HP to DHCS; brought drugs into RTC</t>
  </si>
  <si>
    <t>Justin</t>
  </si>
  <si>
    <t>📋 Jul 2026</t>
  </si>
  <si>
    <t>SEL_MONTH_IDX (from Leaderboard B2)</t>
  </si>
  <si>
    <t>Approved</t>
  </si>
  <si>
    <t>MHN</t>
  </si>
  <si>
    <t>Desiree "Des" Gallegos</t>
  </si>
  <si>
    <t>Held staff several hours, refused search, open defiance — DC before intake</t>
  </si>
  <si>
    <t>📋 Aug 2026</t>
  </si>
  <si>
    <t>Admitted</t>
  </si>
  <si>
    <t>POS II</t>
  </si>
  <si>
    <t>Needs Insurance</t>
  </si>
  <si>
    <t>Jerry Villalobos</t>
  </si>
  <si>
    <t>Too many admits — needs a different program</t>
  </si>
  <si>
    <t>📋 Sep 2026</t>
  </si>
  <si>
    <t>CUR_MONTH_IDX (calendar month)</t>
  </si>
  <si>
    <t>Transfer</t>
  </si>
  <si>
    <t>Lost</t>
  </si>
  <si>
    <t>EIOP</t>
  </si>
  <si>
    <t>ASO</t>
  </si>
  <si>
    <t>Kaiser Referral Process</t>
  </si>
  <si>
    <t>Colleen Lawler</t>
  </si>
  <si>
    <t>Do not admit</t>
  </si>
  <si>
    <t>Needs higher level of care for MH</t>
  </si>
  <si>
    <t>📋 Oct 2026</t>
  </si>
  <si>
    <t>Choice Plus</t>
  </si>
  <si>
    <t>Insurance Flip</t>
  </si>
  <si>
    <t>Scheduled, Incoming</t>
  </si>
  <si>
    <t>📋 Nov 2026</t>
  </si>
  <si>
    <t>CUR_MONTH_NAME (auto)</t>
  </si>
  <si>
    <t>Cash</t>
  </si>
  <si>
    <t>Group</t>
  </si>
  <si>
    <t>On Hold Pending Action</t>
  </si>
  <si>
    <t>📋 Dec 2026</t>
  </si>
  <si>
    <t>Other</t>
  </si>
  <si>
    <t>Follow Up</t>
  </si>
  <si>
    <t>Multiplan</t>
  </si>
  <si>
    <t>Optum/UHC</t>
  </si>
  <si>
    <t>📋  JULY 2026 — CONVERSION TRACKER</t>
  </si>
  <si>
    <t>📋  AUGUST 2026 — CONVERSION TRACKER</t>
  </si>
  <si>
    <t>📋  SEPTEMBER 2026 — CONVERSION TRACKER</t>
  </si>
  <si>
    <t>📋  OCTOBER 2026 — CONVERSION TRACKER</t>
  </si>
  <si>
    <t>📋  NOVEMBER 2026 — CONVERSION TRACKER</t>
  </si>
  <si>
    <t>📋  DECEMBER 2026 — CONVERSION TRACKER</t>
  </si>
  <si>
    <t>schd_all</t>
  </si>
  <si>
    <t>schd_HP</t>
  </si>
  <si>
    <t>schd_HPE</t>
  </si>
  <si>
    <t>📊  REFERRAL ANALYTICS</t>
  </si>
  <si>
    <t>Leads from Pipeline · Admissions YTD from monthly tabs · Conversion = admitted leads ÷ leads (uses Pipeline Outcome)</t>
  </si>
  <si>
    <t>Source</t>
  </si>
  <si>
    <t>Leads</t>
  </si>
  <si>
    <t>Admissions (YTD)</t>
  </si>
  <si>
    <t>Insurance Referral</t>
  </si>
  <si>
    <t>PsychologyToday</t>
  </si>
  <si>
    <t>📊  INSURANCE ANALYTICS</t>
  </si>
  <si>
    <t>BCBS MI</t>
  </si>
  <si>
    <t>⚙ PRODUCTION ENGINE — admits / met-CT / cash (computed; do not edit)</t>
  </si>
  <si>
    <t>Month</t>
  </si>
  <si>
    <t>MetCT</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</si>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</sst>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mm/dd/yyyy"/>
    <numFmt numFmtId="166" formatCode="mm/dd/yy"/>
    <numFmt numFmtId="167" formatCode="\$#,##0.00"/>
    <numFmt numFmtId="168" formatCode="[$$-409]#,##0.00;[Red]\-[$$-409]#,##0.00"/>
    <numFmt numFmtId="169" formatCode="\$#,##0.00_);[Red]&quot;($&quot;#,##0.00\)"/>
  </numFmts>
  <fonts count="102">
    <font>
      <sz val="11"/>
      <color theme="1"/>
      <name val="Calibri"/>
      <family val="2"/>
      <charset val="1"/>
    </font>
    <font>
      <b/>
      <sz val="14"/>
      <color rgb="FFFFFFFF"/>
      <name val="Calibri"/>
      <family val="2"/>
      <charset val="1"/>
    </font>
    <font>
      <i/>
      <sz val="9"/>
      <color rgb="FFAABBDD"/>
      <name val="Calibri"/>
      <family val="2"/>
      <charset val="1"/>
    </font>
    <font>
      <b/>
      <sz val="10"/>
      <color rgb="FFFFD700"/>
      <name val="Calibri"/>
      <family val="2"/>
      <charset val="1"/>
    </font>
    <font>
      <b/>
      <sz val="12"/>
      <color rgb="FFFFFFFF"/>
      <name val="Cambria"/>
      <family val="1"/>
      <charset val="1"/>
    </font>
    <font>
      <b/>
      <sz val="9"/>
      <color rgb="FF5A6B69"/>
      <name val="Cambria"/>
      <family val="1"/>
      <charset val="1"/>
    </font>
    <font>
      <sz val="8"/>
      <color rgb="FF1E4D8A"/>
      <name val="Calibri"/>
      <family val="2"/>
      <charset val="1"/>
    </font>
    <font>
      <b/>
      <sz val="14"/>
      <color rgb="FF0F605B"/>
      <name val="Cambria"/>
      <family val="1"/>
      <charset val="1"/>
    </font>
    <font>
      <b/>
      <sz val="18"/>
      <color rgb="FF1E4D8A"/>
      <name val="Calibri"/>
      <family val="2"/>
      <charset val="1"/>
    </font>
    <font>
      <b/>
      <sz val="11"/>
      <color rgb="FFFFFFFF"/>
      <name val="Cambria"/>
      <family val="1"/>
      <charset val="1"/>
    </font>
    <font>
      <b/>
      <sz val="9"/>
      <color rgb="FF11605B"/>
      <name val="Cambria"/>
      <family val="1"/>
      <charset val="1"/>
    </font>
    <font>
      <sz val="9"/>
      <name val="Cambria"/>
      <family val="1"/>
      <charset val="1"/>
    </font>
    <font>
      <sz val="11"/>
      <name val="Cambria"/>
      <family val="1"/>
      <charset val="1"/>
    </font>
    <font>
      <b/>
      <sz val="9"/>
      <color rgb="FFFFFFFF"/>
      <name val="Cambria"/>
      <family val="1"/>
      <charset val="1"/>
    </font>
    <font>
      <sz val="9"/>
      <color rgb="FF0F605B"/>
      <name val="Cambria"/>
      <family val="1"/>
      <charset val="1"/>
    </font>
    <font>
      <b/>
      <sz val="9"/>
      <name val="Cambria"/>
      <family val="1"/>
      <charset val="1"/>
    </font>
    <font>
      <b/>
      <sz val="11"/>
      <name val="Cambria"/>
      <family val="1"/>
      <charset val="1"/>
    </font>
    <font>
      <sz val="10"/>
      <name val="Cambria"/>
      <family val="1"/>
      <charset val="1"/>
    </font>
    <font>
      <b/>
      <sz val="10"/>
      <name val="Cambria"/>
      <family val="1"/>
      <charset val="1"/>
    </font>
    <font>
      <sz val="10"/>
      <color rgb="FF000000"/>
      <name val="Cambria"/>
      <family val="1"/>
      <charset val="1"/>
    </font>
    <font>
      <b/>
      <sz val="10"/>
      <color rgb="FFC0392B"/>
      <name val="Cambria"/>
      <family val="1"/>
      <charset val="1"/>
    </font>
    <font>
      <sz val="9"/>
      <color rgb="FFB8860B"/>
      <name val="Cambria"/>
      <family val="1"/>
      <charset val="1"/>
    </font>
    <font>
      <b/>
      <sz val="9"/>
      <color rgb="FF7A7A7A"/>
      <name val="Cambria"/>
      <family val="1"/>
      <charset val="1"/>
    </font>
    <font>
      <b/>
      <sz val="15"/>
      <color rgb="FF0F605B"/>
      <name val="Cambria"/>
      <family val="1"/>
      <charset val="1"/>
    </font>
    <font>
      <b/>
      <sz val="16"/>
      <color rgb="FFFFFFFF"/>
      <name val="Calibri"/>
      <family val="2"/>
    </font>
    <font>
      <sz val="10"/>
      <color rgb="FFAABBDD"/>
      <name val="Calibri"/>
      <family val="2"/>
    </font>
    <font>
      <b/>
      <sz val="12"/>
      <color rgb="FFFFFFFF"/>
      <name val="Cambria"/>
      <family val="1"/>
    </font>
    <font>
      <b/>
      <sz val="10"/>
      <color rgb="FF5A6B69"/>
      <name val="Cambria"/>
      <family val="1"/>
    </font>
    <font>
      <b/>
      <sz val="16"/>
      <color rgb="FF0F605B"/>
      <name val="Cambria"/>
      <family val="1"/>
    </font>
    <font>
      <b/>
      <sz val="11"/>
      <color rgb="FF11605B"/>
      <name val="Cambria"/>
      <family val="1"/>
    </font>
    <font>
      <sz val="11"/>
      <color rgb="FF333333"/>
      <name val="Cambria"/>
      <family val="1"/>
    </font>
    <font>
      <b/>
      <sz val="15"/>
      <color rgb="FFFFFFFF"/>
      <name val="Cambria"/>
      <family val="1"/>
      <charset val="1"/>
    </font>
    <font>
      <i/>
      <sz val="9"/>
      <color rgb="FF1F3864"/>
      <name val="Cambria"/>
      <family val="1"/>
      <charset val="1"/>
    </font>
    <font>
      <b/>
      <sz val="9"/>
      <color rgb="FF11605B"/>
      <name val="Cambria"/>
      <family val="1"/>
    </font>
    <font>
      <sz val="9"/>
      <name val="Cambria"/>
      <family val="1"/>
    </font>
    <font>
      <b/>
      <sz val="13"/>
      <color rgb="FFFFFFFF"/>
      <name val="Calibri"/>
      <family val="2"/>
      <charset val="1"/>
    </font>
    <font>
      <b/>
      <sz val="9"/>
      <color rgb="FFE3F2FD"/>
      <name val="Calibri"/>
      <family val="2"/>
      <charset val="1"/>
    </font>
    <font>
      <b/>
      <sz val="9"/>
      <color rgb="FF1A237E"/>
      <name val="Calibri"/>
      <family val="2"/>
      <charset val="1"/>
    </font>
    <font>
      <b/>
      <sz val="9"/>
      <color rgb="FF333333"/>
      <name val="Cambria"/>
      <family val="1"/>
      <charset val="1"/>
    </font>
    <font>
      <b/>
      <sz val="8"/>
      <color rgb="FFE65100"/>
      <name val="Calibri"/>
      <family val="2"/>
      <charset val="1"/>
    </font>
    <font>
      <b/>
      <sz val="8"/>
      <color rgb="FFF57F17"/>
      <name val="Calibri"/>
      <family val="2"/>
      <charset val="1"/>
    </font>
    <font>
      <b/>
      <sz val="8"/>
      <color rgb="FF1B5E20"/>
      <name val="Calibri"/>
      <family val="2"/>
      <charset val="1"/>
    </font>
    <font>
      <b/>
      <sz val="8"/>
      <color rgb="FF757575"/>
      <name val="Calibri"/>
      <family val="2"/>
      <charset val="1"/>
    </font>
    <font>
      <b/>
      <sz val="9"/>
      <color rgb="FFFFFFFF"/>
      <name val="Calibri"/>
      <family val="2"/>
      <charset val="1"/>
    </font>
    <font>
      <b/>
      <sz val="8"/>
      <color rgb="FFFFFFFF"/>
      <name val="Calibri"/>
      <family val="2"/>
      <charset val="1"/>
    </font>
    <font>
      <sz val="10"/>
      <name val="Calibri"/>
      <family val="2"/>
      <charset val="1"/>
    </font>
    <font>
      <sz val="9"/>
      <name val="Calibri"/>
      <family val="2"/>
      <charset val="1"/>
    </font>
    <font>
      <b/>
      <sz val="11"/>
      <color rgb="FF11605B"/>
      <name val="Calibri"/>
      <family val="2"/>
      <charset val="1"/>
    </font>
    <font>
      <b/>
      <sz val="11"/>
      <color rgb="FF1F4E78"/>
      <name val="Cambria"/>
      <family val="1"/>
      <charset val="1"/>
    </font>
    <font>
      <i/>
      <sz val="9"/>
      <color rgb="FF808080"/>
      <name val="Cambria"/>
      <family val="1"/>
      <charset val="1"/>
    </font>
    <font>
      <b/>
      <sz val="10"/>
      <color rgb="FFFFFFFF"/>
      <name val="Cambria"/>
      <family val="1"/>
      <charset val="1"/>
    </font>
    <font>
      <i/>
      <sz val="9"/>
      <color rgb="FF555555"/>
      <name val="Cambria"/>
      <family val="1"/>
      <charset val="1"/>
    </font>
    <font>
      <sz val="9"/>
      <color rgb="FF333333"/>
      <name val="Calibri"/>
      <family val="2"/>
      <charset val="1"/>
    </font>
    <font>
      <sz val="9"/>
      <color rgb="FF555555"/>
      <name val="Calibri"/>
      <family val="2"/>
      <charset val="1"/>
    </font>
    <font>
      <sz val="10"/>
      <color rgb="FF1F1F1F"/>
      <name val="Calibri"/>
      <family val="2"/>
      <charset val="1"/>
    </font>
    <font>
      <b/>
      <sz val="12"/>
      <color rgb="FFFFFFFF"/>
      <name val="Calibri"/>
      <family val="2"/>
      <charset val="1"/>
    </font>
    <font>
      <b/>
      <sz val="10"/>
      <color rgb="FFCCE5FF"/>
      <name val="Calibri"/>
      <family val="2"/>
      <charset val="1"/>
    </font>
    <font>
      <b/>
      <sz val="10"/>
      <color rgb="FF276221"/>
      <name val="Calibri"/>
      <family val="2"/>
      <charset val="1"/>
    </font>
    <font>
      <b/>
      <sz val="10"/>
      <color rgb="FFA32D2D"/>
      <name val="Calibri"/>
      <family val="2"/>
      <charset val="1"/>
    </font>
    <font>
      <b/>
      <sz val="10"/>
      <color rgb="FFFFFFFF"/>
      <name val="Calibri"/>
      <family val="2"/>
      <charset val="1"/>
    </font>
    <font>
      <b/>
      <sz val="11"/>
      <color rgb="FF0F605B"/>
      <name val="Cambria"/>
      <family val="1"/>
    </font>
    <font>
      <i/>
      <sz val="9"/>
      <color rgb="FF5A6B69"/>
      <name val="Cambria"/>
      <family val="1"/>
    </font>
    <font>
      <b/>
      <sz val="11"/>
      <color rgb="FF70AD47"/>
      <name val="Cambria"/>
      <family val="1"/>
      <charset val="1"/>
    </font>
    <font>
      <b/>
      <sz val="11"/>
      <color rgb="FF11605B"/>
      <name val="Cambria"/>
      <family val="1"/>
      <charset val="1"/>
    </font>
    <font>
      <b/>
      <sz val="10"/>
      <color rgb="FFFFFFFF"/>
      <name val="Cambria"/>
      <family val="1"/>
    </font>
    <font>
      <sz val="10"/>
      <color rgb="FF333333"/>
      <name val="Cambria"/>
      <family val="1"/>
    </font>
    <font>
      <b/>
      <sz val="10"/>
      <color rgb="FF0F605B"/>
      <name val="Cambria"/>
      <family val="1"/>
    </font>
    <font>
      <b/>
      <sz val="11"/>
      <color rgb="FFFFFFFF"/>
      <name val="Cambria"/>
      <family val="1"/>
    </font>
    <font>
      <b/>
      <sz val="10"/>
      <color rgb="FF11605B"/>
      <name val="Cambria"/>
      <family val="1"/>
      <charset val="1"/>
    </font>
    <font>
      <b/>
      <sz val="11"/>
      <color rgb="FFFFFFFF"/>
      <name val="Calibri"/>
      <family val="2"/>
      <charset val="1"/>
    </font>
    <font>
      <b/>
      <sz val="11"/>
      <color rgb="FF1F3864"/>
      <name val="Cambria"/>
      <family val="1"/>
      <charset val="1"/>
    </font>
    <font>
      <sz val="11"/>
      <color rgb="FF808080"/>
      <name val="Cambria"/>
      <family val="1"/>
      <charset val="1"/>
    </font>
    <font>
      <b/>
      <sz val="13"/>
      <color rgb="FFFFFFFF"/>
      <name val="Cambria"/>
      <family val="1"/>
      <charset val="1"/>
    </font>
    <font>
      <sz val="10.5"/>
      <name val="Cambria"/>
      <family val="1"/>
      <charset val="1"/>
    </font>
    <font>
      <b/>
      <sz val="10.5"/>
      <name val="Cambria"/>
      <family val="1"/>
      <charset val="1"/>
    </font>
    <font>
      <i/>
      <sz val="10"/>
      <name val="Cambria"/>
      <family val="1"/>
      <charset val="1"/>
    </font>
    <font>
      <b/>
      <sz val="10.5"/>
      <color rgb="FF9C5700"/>
      <name val="Cambria"/>
      <family val="1"/>
      <charset val="1"/>
    </font>
    <font>
      <b/>
      <sz val="11"/>
      <color rgb="FF5A6B69"/>
      <name val="Cambria"/>
      <family val="1"/>
      <charset val="1"/>
    </font>
    <font>
      <b/>
      <sz val="11"/>
      <color rgb="FF0F605B"/>
      <name val="Cambria"/>
      <family val="1"/>
      <charset val="1"/>
    </font>
    <font>
      <b/>
      <sz val="14"/>
      <color rgb="FFFFFFFF"/>
      <name val="Cambria"/>
      <family val="1"/>
      <charset val="1"/>
    </font>
    <font>
      <i/>
      <sz val="9"/>
      <color rgb="FF1C1818"/>
      <name val="Calibri"/>
      <family val="2"/>
      <charset val="1"/>
    </font>
    <font>
      <i/>
      <sz val="8"/>
      <color rgb="FF8A6F3A"/>
      <name val="Calibri"/>
      <family val="2"/>
      <charset val="1"/>
    </font>
    <font>
      <b/>
      <sz val="9"/>
      <color rgb="FF1C1818"/>
      <name val="Calibri"/>
      <family val="2"/>
      <charset val="1"/>
    </font>
    <font>
      <sz val="9"/>
      <color rgb="FF1C1818"/>
      <name val="Calibri"/>
      <family val="2"/>
      <charset val="1"/>
    </font>
    <font>
      <b/>
      <sz val="9"/>
      <color rgb="FF9B2335"/>
      <name val="Calibri"/>
      <family val="2"/>
      <charset val="1"/>
    </font>
    <font>
      <b/>
      <sz val="9"/>
      <color rgb="FF3A7D44"/>
      <name val="Calibri"/>
      <family val="2"/>
      <charset val="1"/>
    </font>
    <font>
      <b/>
      <sz val="9"/>
      <color rgb="FF8A6F3A"/>
      <name val="Calibri"/>
      <family val="2"/>
      <charset val="1"/>
    </font>
    <font>
      <sz val="9"/>
      <color rgb="FFE3F2FD"/>
      <name val="Calibri"/>
      <family val="2"/>
      <charset val="1"/>
    </font>
    <font>
      <b/>
      <sz val="9"/>
      <color rgb="FF0D47A1"/>
      <name val="Calibri"/>
      <family val="2"/>
      <charset val="1"/>
    </font>
    <font>
      <b/>
      <sz val="9"/>
      <color rgb="FF1B5E20"/>
      <name val="Calibri"/>
      <family val="2"/>
      <charset val="1"/>
    </font>
    <font>
      <b/>
      <sz val="9"/>
      <color rgb="FF004D40"/>
      <name val="Calibri"/>
      <family val="2"/>
      <charset val="1"/>
    </font>
    <font>
      <b/>
      <sz val="9"/>
      <color rgb="FF4A148C"/>
      <name val="Calibri"/>
      <family val="2"/>
      <charset val="1"/>
    </font>
    <font>
      <b/>
      <sz val="9"/>
      <color rgb="FF2E4D8A"/>
      <name val="Calibri"/>
      <family val="2"/>
      <charset val="1"/>
    </font>
    <font>
      <sz val="9"/>
      <color rgb="FF9C27B0"/>
      <name val="Calibri"/>
      <family val="2"/>
      <charset val="1"/>
    </font>
    <font>
      <b/>
      <sz val="9"/>
      <color rgb="FFB8860B"/>
      <name val="Calibri"/>
      <family val="2"/>
      <charset val="1"/>
    </font>
    <font>
      <b/>
      <sz val="10"/>
      <color rgb="FFB71C1C"/>
      <name val="Calibri"/>
      <family val="2"/>
      <charset val="1"/>
    </font>
    <font>
      <i/>
      <sz val="10"/>
      <color rgb="FF757575"/>
      <name val="Calibri"/>
      <family val="2"/>
      <charset val="1"/>
    </font>
    <font>
      <b/>
      <sz val="9"/>
      <color rgb="FFE65100"/>
      <name val="Calibri"/>
      <family val="2"/>
      <charset val="1"/>
    </font>
    <font>
      <sz val="9"/>
      <color rgb="FF2E7D32"/>
      <name val="Calibri"/>
      <family val="2"/>
      <charset val="1"/>
    </font>
    <font>
      <i/>
      <sz val="9"/>
      <color rgb="FF888888"/>
      <name val="Calibri"/>
      <family val="2"/>
      <charset val="1"/>
    </font>
    <font>
      <b/>
      <sz val="12"/>
      <color rgb="FF375623"/>
      <name val="Cambria"/>
      <family val="1"/>
      <charset val="1"/>
    </font>
    <font>
      <i/>
      <sz val="9"/>
      <color rgb="FF7A7A7A"/>
      <name val="Cambria"/>
      <family val="1"/>
      <charset val="1"/>
    </font>
  </fonts>
  <fills count="29">
    <fill>
      <patternFill patternType="none"/>
    </fill>
    <fill>
      <patternFill patternType="gray125"/>
    </fill>
    <fill>
      <patternFill patternType="solid">
        <fgColor rgb="FF0F605B"/>
        <bgColor rgb="FF11605B"/>
      </patternFill>
    </fill>
    <fill>
      <patternFill patternType="solid">
        <fgColor rgb="FFEDF3F1"/>
        <bgColor rgb="FFECF4F1"/>
      </patternFill>
    </fill>
    <fill>
      <patternFill patternType="solid">
        <fgColor rgb="FFDEDDE9"/>
        <bgColor rgb="FFDDDFF0"/>
      </patternFill>
    </fill>
    <fill>
      <patternFill patternType="solid">
        <fgColor rgb="FFFFFFFF"/>
        <bgColor rgb="FFFBFBFB"/>
      </patternFill>
    </fill>
    <fill>
      <patternFill patternType="solid">
        <fgColor rgb="FFEAF3FD"/>
        <bgColor rgb="FFEDF4FD"/>
      </patternFill>
    </fill>
    <fill>
      <patternFill patternType="solid">
        <fgColor rgb="FFF1F6FC"/>
        <bgColor rgb="FFEDF4FD"/>
      </patternFill>
    </fill>
    <fill>
      <patternFill patternType="solid">
        <fgColor rgb="FFFFF6DD"/>
        <bgColor rgb="FFFFF9D9"/>
      </patternFill>
    </fill>
    <fill>
      <patternFill patternType="solid">
        <fgColor rgb="FFE9EDFC"/>
        <bgColor rgb="FFEAF3FD"/>
      </patternFill>
    </fill>
    <fill>
      <patternFill patternType="darkGray">
        <fgColor rgb="FFCAF0D8"/>
        <bgColor rgb="FFE1F1FD"/>
      </patternFill>
    </fill>
    <fill>
      <patternFill patternType="solid">
        <fgColor rgb="FFBDD7EE"/>
        <bgColor rgb="FFCBD8D5"/>
      </patternFill>
    </fill>
    <fill>
      <patternFill patternType="darkGray">
        <fgColor rgb="FFFFEAA9"/>
        <bgColor rgb="FFFFEB9C"/>
      </patternFill>
    </fill>
    <fill>
      <patternFill patternType="solid">
        <fgColor rgb="FFFBFBFB"/>
        <bgColor rgb="FFF7F9F9"/>
      </patternFill>
    </fill>
    <fill>
      <patternFill patternType="darkGray">
        <fgColor rgb="FFFFF9D9"/>
        <bgColor rgb="FFFFF6DD"/>
      </patternFill>
    </fill>
    <fill>
      <patternFill patternType="solid">
        <fgColor rgb="FFFFF9D9"/>
        <bgColor rgb="FFFFF6DD"/>
      </patternFill>
    </fill>
    <fill>
      <patternFill patternType="solid">
        <fgColor rgb="FFFFF2CC"/>
        <bgColor rgb="FFFDEFD7"/>
      </patternFill>
    </fill>
    <fill>
      <patternFill patternType="solid">
        <fgColor rgb="FFF2F2F2"/>
        <bgColor rgb="FFEDF3F1"/>
      </patternFill>
    </fill>
    <fill>
      <patternFill patternType="solid">
        <fgColor rgb="FFFDEFD7"/>
        <bgColor rgb="FFFFF2CC"/>
      </patternFill>
    </fill>
    <fill>
      <patternFill patternType="darkGray">
        <fgColor rgb="FFFFEB9C"/>
        <bgColor rgb="FFFFE699"/>
      </patternFill>
    </fill>
    <fill>
      <patternFill patternType="solid">
        <fgColor rgb="FFECF4F1"/>
        <bgColor rgb="FFEDF3F1"/>
      </patternFill>
    </fill>
    <fill>
      <patternFill patternType="solid">
        <fgColor rgb="FF20375B"/>
        <bgColor rgb="FF1F2C68"/>
      </patternFill>
    </fill>
    <fill>
      <patternFill patternType="solid">
        <fgColor rgb="FFEDF4FD"/>
        <bgColor rgb="FFEAF3FD"/>
      </patternFill>
    </fill>
    <fill>
      <patternFill patternType="solid">
        <fgColor rgb="FFF7F9F9"/>
        <bgColor rgb="FFF6F9F9"/>
      </patternFill>
    </fill>
    <fill>
      <patternFill patternType="darkGray">
        <fgColor rgb="FFDDDFF0"/>
        <bgColor rgb="FFDEDDE9"/>
      </patternFill>
    </fill>
    <fill>
      <patternFill patternType="solid">
        <fgColor rgb="FFF47C0B"/>
        <bgColor rgb="FFFB6000"/>
      </patternFill>
    </fill>
    <fill>
      <patternFill patternType="solid">
        <fgColor rgb="FFFFEBEE"/>
        <bgColor rgb="FFFDEFD7"/>
      </patternFill>
    </fill>
    <fill>
      <patternFill patternType="solid">
        <fgColor rgb="FFE1F1FD"/>
        <bgColor rgb="FFEAF3FD"/>
      </patternFill>
    </fill>
    <fill>
      <patternFill patternType="solid">
        <fgColor rgb="FFF6F9F9"/>
        <bgColor rgb="FFF7F9F9"/>
      </patternFill>
    </fill>
  </fills>
  <borders count="36">
    <border>
      <left/>
      <right/>
      <top/>
      <bottom/>
      <diagonal/>
    </border>
    <border>
      <left style="thin">
        <color rgb="FFCBCDCD"/>
      </left>
      <right style="thin">
        <color rgb="FFCBCDCD"/>
      </right>
      <top style="thin">
        <color rgb="FFCBCDCD"/>
      </top>
      <bottom/>
      <diagonal/>
    </border>
    <border>
      <left style="thin">
        <color rgb="FFCBCDCD"/>
      </left>
      <right style="thin">
        <color rgb="FF144C8C"/>
      </right>
      <top style="thin">
        <color rgb="FF144C8C"/>
      </top>
      <bottom style="thin">
        <color rgb="FF144C8C"/>
      </bottom>
      <diagonal/>
    </border>
    <border>
      <left style="thin">
        <color rgb="FF1D6020"/>
      </left>
      <right style="thin">
        <color rgb="FF1D6020"/>
      </right>
      <top style="thin">
        <color rgb="FF1D6020"/>
      </top>
      <bottom style="thin">
        <color rgb="FF1D6020"/>
      </bottom>
      <diagonal/>
    </border>
    <border>
      <left style="thin">
        <color rgb="FF8C5000"/>
      </left>
      <right style="thin">
        <color rgb="FF8C5000"/>
      </right>
      <top style="thin">
        <color rgb="FF8C5000"/>
      </top>
      <bottom style="thin">
        <color rgb="FF8C5000"/>
      </bottom>
      <diagonal/>
    </border>
    <border>
      <left style="thin">
        <color rgb="FF9C0005"/>
      </left>
      <right style="thin">
        <color rgb="FF9C0005"/>
      </right>
      <top style="thin">
        <color rgb="FF9C0005"/>
      </top>
      <bottom style="thin">
        <color rgb="FF9C0005"/>
      </bottom>
      <diagonal/>
    </border>
    <border>
      <left style="thin">
        <color rgb="FF144C8C"/>
      </left>
      <right style="thin">
        <color rgb="FF144C8C"/>
      </right>
      <top style="thin">
        <color rgb="FF144C8C"/>
      </top>
      <bottom style="thin">
        <color rgb="FF144C8C"/>
      </bottom>
      <diagonal/>
    </border>
    <border>
      <left style="thin">
        <color rgb="FF9C0005"/>
      </left>
      <right style="thin">
        <color rgb="FFCBCDCD"/>
      </right>
      <top style="thin">
        <color rgb="FF9C0005"/>
      </top>
      <bottom style="thin">
        <color rgb="FF9C0005"/>
      </bottom>
      <diagonal/>
    </border>
    <border>
      <left style="thin">
        <color rgb="FFCBCDCD"/>
      </left>
      <right style="thin">
        <color rgb="FF144C8C"/>
      </right>
      <top style="thin">
        <color rgb="FF144C8C"/>
      </top>
      <bottom style="thin">
        <color rgb="FFCBCDCD"/>
      </bottom>
      <diagonal/>
    </border>
    <border>
      <left style="thin">
        <color rgb="FF1D6020"/>
      </left>
      <right style="thin">
        <color rgb="FF1D6020"/>
      </right>
      <top style="thin">
        <color rgb="FF1D6020"/>
      </top>
      <bottom style="thin">
        <color rgb="FFCBCDCD"/>
      </bottom>
      <diagonal/>
    </border>
    <border>
      <left style="thin">
        <color rgb="FF8C5000"/>
      </left>
      <right style="thin">
        <color rgb="FF8C5000"/>
      </right>
      <top style="thin">
        <color rgb="FF8C5000"/>
      </top>
      <bottom style="thin">
        <color rgb="FFCBCDCD"/>
      </bottom>
      <diagonal/>
    </border>
    <border>
      <left style="thin">
        <color rgb="FF9C0005"/>
      </left>
      <right style="thin">
        <color rgb="FF9C0005"/>
      </right>
      <top style="thin">
        <color rgb="FF9C0005"/>
      </top>
      <bottom style="thin">
        <color rgb="FFCBCDCD"/>
      </bottom>
      <diagonal/>
    </border>
    <border>
      <left style="thin">
        <color rgb="FF144C8C"/>
      </left>
      <right style="thin">
        <color rgb="FF144C8C"/>
      </right>
      <top style="thin">
        <color rgb="FF144C8C"/>
      </top>
      <bottom style="thin">
        <color rgb="FFCBCDCD"/>
      </bottom>
      <diagonal/>
    </border>
    <border>
      <left style="thin">
        <color rgb="FF9C0005"/>
      </left>
      <right style="thin">
        <color rgb="FFCBCDCD"/>
      </right>
      <top style="thin">
        <color rgb="FF9C0005"/>
      </top>
      <bottom style="thin">
        <color rgb="FFCBCDCD"/>
      </bottom>
      <diagonal/>
    </border>
    <border>
      <left style="thin">
        <color rgb="FFD9D9D9"/>
      </left>
      <right style="thin">
        <color rgb="FFD9D9D9"/>
      </right>
      <top style="thin">
        <color rgb="FFD9D9D9"/>
      </top>
      <bottom style="thin">
        <color rgb="FFD9D9D9"/>
      </bottom>
      <diagonal/>
    </border>
    <border>
      <left style="thin">
        <color rgb="FFBFBFC8"/>
      </left>
      <right style="thin">
        <color rgb="FFBFBFC8"/>
      </right>
      <top style="thin">
        <color rgb="FFBFBFC8"/>
      </top>
      <bottom style="thin">
        <color rgb="FFBFBFC8"/>
      </bottom>
      <diagonal/>
    </border>
    <border>
      <left style="thin">
        <color rgb="FFCBCDCD"/>
      </left>
      <right style="thin">
        <color rgb="FFCBCDCD"/>
      </right>
      <top style="thin">
        <color rgb="FFCBCDCD"/>
      </top>
      <bottom style="thin">
        <color rgb="FFCBCDCD"/>
      </bottom>
      <diagonal/>
    </border>
    <border>
      <left style="thin">
        <color rgb="FFCBD8D5"/>
      </left>
      <right style="thin">
        <color rgb="FFCBD8D5"/>
      </right>
      <top style="thin">
        <color rgb="FFCBD8D5"/>
      </top>
      <bottom style="thin">
        <color rgb="FFCBD8D5"/>
      </bottom>
      <diagonal/>
    </border>
    <border>
      <left style="medium">
        <color rgb="FF1D6020"/>
      </left>
      <right/>
      <top style="medium">
        <color rgb="FF1D6020"/>
      </top>
      <bottom style="medium">
        <color rgb="FF1D6020"/>
      </bottom>
      <diagonal/>
    </border>
    <border>
      <left style="thin">
        <color rgb="FF2C74B7"/>
      </left>
      <right style="thin">
        <color rgb="FF2C74B7"/>
      </right>
      <top style="thin">
        <color rgb="FF2C74B7"/>
      </top>
      <bottom style="thin">
        <color rgb="FF2C74B7"/>
      </bottom>
      <diagonal/>
    </border>
    <border>
      <left style="thin">
        <color rgb="FFE1DDDD"/>
      </left>
      <right style="thin">
        <color rgb="FFE1DDDD"/>
      </right>
      <top style="thin">
        <color rgb="FFE1DDDD"/>
      </top>
      <bottom style="thin">
        <color rgb="FFE1DDDD"/>
      </bottom>
      <diagonal/>
    </border>
    <border>
      <left style="thin">
        <color rgb="FFB4B4B4"/>
      </left>
      <right style="thin">
        <color rgb="FFB4B4B4"/>
      </right>
      <top style="thin">
        <color rgb="FFB4B4B4"/>
      </top>
      <bottom style="thin">
        <color rgb="FFB4B4B4"/>
      </bottom>
      <diagonal/>
    </border>
    <border>
      <left style="thin">
        <color rgb="FFD0D0D0"/>
      </left>
      <right style="thin">
        <color rgb="FFD0D0D0"/>
      </right>
      <top style="thin">
        <color rgb="FFD0D0D0"/>
      </top>
      <bottom style="thin">
        <color rgb="FFD0D0D0"/>
      </bottom>
      <diagonal/>
    </border>
    <border>
      <left/>
      <right style="thin">
        <color rgb="FFD0D0D0"/>
      </right>
      <top/>
      <bottom style="thin">
        <color rgb="FFD0D0D0"/>
      </bottom>
      <diagonal/>
    </border>
    <border>
      <left/>
      <right/>
      <top style="thin">
        <color rgb="FF2C74B7"/>
      </top>
      <bottom style="medium">
        <color rgb="FF2C74B7"/>
      </bottom>
      <diagonal/>
    </border>
    <border>
      <left style="thin">
        <color rgb="FFDDDFF0"/>
      </left>
      <right style="thin">
        <color rgb="FFDDDFF0"/>
      </right>
      <top style="thin">
        <color rgb="FFDDDFF0"/>
      </top>
      <bottom style="thin">
        <color rgb="FFDDDFF0"/>
      </bottom>
      <diagonal/>
    </border>
    <border>
      <left style="thin">
        <color rgb="FFE9EDFC"/>
      </left>
      <right style="thin">
        <color rgb="FFE9EDFC"/>
      </right>
      <top style="thin">
        <color rgb="FFE9EDFC"/>
      </top>
      <bottom style="thin">
        <color rgb="FFE9EDFC"/>
      </bottom>
      <diagonal/>
    </border>
    <border>
      <left style="medium">
        <color rgb="FF8C5000"/>
      </left>
      <right style="medium">
        <color rgb="FF8C5000"/>
      </right>
      <top style="medium">
        <color rgb="FF8C5000"/>
      </top>
      <bottom style="medium">
        <color rgb="FF8C5000"/>
      </bottom>
      <diagonal/>
    </border>
    <border>
      <left style="thin">
        <color rgb="FFCBD8D5"/>
      </left>
      <right style="thin">
        <color rgb="FFCBD8D5"/>
      </right>
      <top style="medium">
        <color rgb="FF0F605B"/>
      </top>
      <bottom style="thin">
        <color rgb="FFCBD8D5"/>
      </bottom>
      <diagonal/>
    </border>
    <border>
      <left/>
      <right/>
      <top/>
      <bottom style="thin">
        <color rgb="FFD9D9D9"/>
      </bottom>
      <diagonal/>
    </border>
    <border>
      <left style="thin">
        <color rgb="FFC8BFB0"/>
      </left>
      <right style="thin">
        <color rgb="FFC8BFB0"/>
      </right>
      <top style="thin">
        <color rgb="FFC8BFB0"/>
      </top>
      <bottom style="thin">
        <color rgb="FFC8BFB0"/>
      </bottom>
      <diagonal/>
    </border>
    <border>
      <left style="thin">
        <color rgb="FFC8BFB0"/>
      </left>
      <right/>
      <top style="thin">
        <color rgb="FFC8BFB0"/>
      </top>
      <bottom style="thin">
        <color rgb="FFC8BFB0"/>
      </bottom>
      <diagonal/>
    </border>
    <border>
      <left style="thin">
        <color rgb="FF0F605B"/>
      </left>
      <right style="thin">
        <color rgb="FF0F605B"/>
      </right>
      <top style="thin">
        <color rgb="FF0F605B"/>
      </top>
      <bottom style="thin">
        <color rgb="FF0F605B"/>
      </bottom>
      <diagonal/>
    </border>
    <border>
      <left style="thin">
        <color rgb="FF1F2C68"/>
      </left>
      <right style="thin">
        <color rgb="FF1F2C68"/>
      </right>
      <top style="thin">
        <color rgb="FF1F2C68"/>
      </top>
      <bottom style="thin">
        <color rgb="FF1F2C68"/>
      </bottom>
      <diagonal/>
    </border>
    <border>
      <left style="thin">
        <color rgb="FFFB6000"/>
      </left>
      <right style="thin">
        <color rgb="FFFB6000"/>
      </right>
      <top style="thin">
        <color rgb="FFFB6000"/>
      </top>
      <bottom style="thin">
        <color rgb="FFFB6000"/>
      </bottom>
      <diagonal/>
    </border>
    <border>
      <left/>
      <right/>
      <top/>
      <bottom style="medium">
        <color rgb="FF2C74B7"/>
      </bottom>
      <diagonal/>
    </border>
  </borders>
  <cellStyleXfs count="1">
    <xf numFmtId="0" fontId="0" fillId="0" borderId="0"/>
  </cellStyleXfs>
  <cellXfs count="347">
    <xf numFmtId="0" fontId="0" fillId="0" borderId="0" xfId="0"/>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6" fillId="4" borderId="6" xfId="0" applyFont="1" applyFill="1" applyBorder="1" applyAlignment="1">
      <alignment horizontal="center" wrapText="1"/>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2" xfId="0" applyFont="1" applyFill="1" applyBorder="1" applyAlignment="1">
      <alignment horizontal="center" vertical="center"/>
    </xf>
    <xf numFmtId="9" fontId="7" fillId="5" borderId="10" xfId="0" applyNumberFormat="1" applyFont="1" applyFill="1" applyBorder="1" applyAlignment="1">
      <alignment horizontal="center" vertical="center"/>
    </xf>
    <xf numFmtId="0" fontId="7" fillId="5" borderId="13" xfId="0" applyFont="1" applyFill="1" applyBorder="1" applyAlignment="1">
      <alignment horizontal="center" vertical="center"/>
    </xf>
    <xf numFmtId="0" fontId="8" fillId="4" borderId="6" xfId="0" applyFont="1" applyFill="1" applyBorder="1" applyAlignment="1">
      <alignment horizontal="center" vertical="center"/>
    </xf>
    <xf numFmtId="0" fontId="0" fillId="6" borderId="0" xfId="0" applyFill="1"/>
    <xf numFmtId="0" fontId="10" fillId="4" borderId="14" xfId="0" applyFont="1" applyFill="1" applyBorder="1" applyAlignment="1">
      <alignment horizontal="center" vertical="center" wrapText="1"/>
    </xf>
    <xf numFmtId="0" fontId="11" fillId="0" borderId="14" xfId="0" applyFont="1" applyBorder="1" applyAlignment="1">
      <alignment horizontal="center"/>
    </xf>
    <xf numFmtId="0" fontId="12" fillId="0" borderId="0" xfId="0" applyFont="1" applyAlignment="1">
      <alignment horizontal="center"/>
    </xf>
    <xf numFmtId="0" fontId="10" fillId="0" borderId="0" xfId="0" applyFont="1" applyAlignment="1">
      <alignment horizontal="center" vertical="center" wrapText="1"/>
    </xf>
    <xf numFmtId="14" fontId="11" fillId="0" borderId="14" xfId="0" applyNumberFormat="1" applyFont="1" applyBorder="1" applyAlignment="1">
      <alignment horizontal="center"/>
    </xf>
    <xf numFmtId="0" fontId="12" fillId="0" borderId="0" xfId="0" applyFont="1" applyAlignment="1">
      <alignment horizontal="center" vertical="center" wrapText="1"/>
    </xf>
    <xf numFmtId="0" fontId="11" fillId="0" borderId="15" xfId="0" applyFont="1" applyBorder="1" applyAlignment="1">
      <alignment horizontal="left" vertical="center"/>
    </xf>
    <xf numFmtId="1" fontId="12" fillId="0" borderId="15" xfId="0" applyNumberFormat="1" applyFont="1" applyBorder="1" applyAlignment="1">
      <alignment horizontal="center"/>
    </xf>
    <xf numFmtId="0" fontId="14" fillId="0" borderId="15" xfId="0" applyFont="1" applyBorder="1" applyAlignment="1">
      <alignment horizontal="center"/>
    </xf>
    <xf numFmtId="9" fontId="12" fillId="0" borderId="15" xfId="0" applyNumberFormat="1" applyFont="1" applyBorder="1" applyAlignment="1">
      <alignment horizontal="center"/>
    </xf>
    <xf numFmtId="164" fontId="12" fillId="0" borderId="0" xfId="0" applyNumberFormat="1" applyFont="1" applyAlignment="1">
      <alignment horizontal="center"/>
    </xf>
    <xf numFmtId="164" fontId="12" fillId="0" borderId="0" xfId="0" applyNumberFormat="1" applyFont="1"/>
    <xf numFmtId="0" fontId="12" fillId="0" borderId="0" xfId="0" applyFont="1"/>
    <xf numFmtId="0" fontId="15" fillId="2" borderId="15" xfId="0" applyFont="1" applyFill="1" applyBorder="1" applyAlignment="1">
      <alignment horizontal="center"/>
    </xf>
    <xf numFmtId="1" fontId="16" fillId="2" borderId="15" xfId="0" applyNumberFormat="1" applyFont="1" applyFill="1" applyBorder="1" applyAlignment="1">
      <alignment horizontal="center"/>
    </xf>
    <xf numFmtId="0" fontId="12" fillId="2" borderId="15" xfId="0" applyFont="1" applyFill="1" applyBorder="1" applyAlignment="1">
      <alignment horizontal="center"/>
    </xf>
    <xf numFmtId="9" fontId="16" fillId="2" borderId="15" xfId="0" applyNumberFormat="1" applyFont="1" applyFill="1" applyBorder="1" applyAlignment="1">
      <alignment horizontal="center"/>
    </xf>
    <xf numFmtId="0" fontId="13" fillId="2" borderId="16" xfId="0" applyFont="1" applyFill="1" applyBorder="1" applyAlignment="1">
      <alignment horizontal="center"/>
    </xf>
    <xf numFmtId="0" fontId="17" fillId="0" borderId="16" xfId="0" applyFont="1" applyBorder="1" applyAlignment="1">
      <alignment horizontal="left" indent="1"/>
    </xf>
    <xf numFmtId="0" fontId="12" fillId="0" borderId="16" xfId="0" applyFont="1" applyBorder="1" applyAlignment="1">
      <alignment horizontal="center"/>
    </xf>
    <xf numFmtId="0" fontId="14" fillId="0" borderId="0" xfId="0" applyFont="1"/>
    <xf numFmtId="0" fontId="18" fillId="7" borderId="16" xfId="0" applyFont="1" applyFill="1" applyBorder="1" applyAlignment="1">
      <alignment horizontal="left" indent="1"/>
    </xf>
    <xf numFmtId="0" fontId="18" fillId="7" borderId="16" xfId="0" applyFont="1" applyFill="1" applyBorder="1" applyAlignment="1">
      <alignment horizontal="center"/>
    </xf>
    <xf numFmtId="0" fontId="19" fillId="0" borderId="0" xfId="0" applyFont="1" applyAlignment="1">
      <alignment horizontal="left" vertical="center" indent="1"/>
    </xf>
    <xf numFmtId="164" fontId="18" fillId="0" borderId="0" xfId="0" applyNumberFormat="1" applyFont="1" applyAlignment="1" applyProtection="1">
      <alignment horizontal="center"/>
      <protection locked="0"/>
    </xf>
    <xf numFmtId="0" fontId="18" fillId="0" borderId="0" xfId="0" applyFont="1" applyAlignment="1" applyProtection="1">
      <alignment horizontal="center"/>
      <protection locked="0"/>
    </xf>
    <xf numFmtId="0" fontId="20" fillId="0" borderId="0" xfId="0" applyFont="1" applyAlignment="1">
      <alignment horizontal="left" vertical="center" indent="1"/>
    </xf>
    <xf numFmtId="164" fontId="18" fillId="0" borderId="0" xfId="0" applyNumberFormat="1" applyFont="1" applyAlignment="1">
      <alignment horizontal="center"/>
    </xf>
    <xf numFmtId="0" fontId="21" fillId="0" borderId="0" xfId="0" applyFont="1"/>
    <xf numFmtId="0" fontId="18" fillId="0" borderId="0" xfId="0" applyFont="1" applyAlignment="1">
      <alignment horizontal="center"/>
    </xf>
    <xf numFmtId="9" fontId="18" fillId="0" borderId="0" xfId="0" applyNumberFormat="1" applyFont="1" applyAlignment="1">
      <alignment horizontal="center"/>
    </xf>
    <xf numFmtId="0" fontId="22" fillId="0" borderId="0" xfId="0" applyFont="1" applyAlignment="1">
      <alignment horizontal="center" vertical="center"/>
    </xf>
    <xf numFmtId="0" fontId="23" fillId="0" borderId="0" xfId="0" applyFont="1" applyAlignment="1">
      <alignment horizontal="center" vertical="center"/>
    </xf>
    <xf numFmtId="9" fontId="23" fillId="0" borderId="0" xfId="0" applyNumberFormat="1" applyFont="1" applyAlignment="1">
      <alignment horizontal="center" vertical="center"/>
    </xf>
    <xf numFmtId="0" fontId="27" fillId="3" borderId="17" xfId="0" applyFont="1" applyFill="1" applyBorder="1" applyAlignment="1">
      <alignment horizontal="center" vertical="center"/>
    </xf>
    <xf numFmtId="0" fontId="0" fillId="3" borderId="17" xfId="0" applyFill="1" applyBorder="1"/>
    <xf numFmtId="0" fontId="28" fillId="5" borderId="17" xfId="0" applyFont="1" applyFill="1" applyBorder="1" applyAlignment="1">
      <alignment horizontal="center" vertical="center"/>
    </xf>
    <xf numFmtId="9" fontId="28" fillId="5" borderId="17" xfId="0" applyNumberFormat="1" applyFont="1" applyFill="1" applyBorder="1" applyAlignment="1">
      <alignment horizontal="center" vertical="center"/>
    </xf>
    <xf numFmtId="0" fontId="0" fillId="5" borderId="17" xfId="0" applyFill="1" applyBorder="1"/>
    <xf numFmtId="0" fontId="29" fillId="4" borderId="17" xfId="0" applyFont="1" applyFill="1" applyBorder="1" applyAlignment="1">
      <alignment horizontal="center" vertical="center"/>
    </xf>
    <xf numFmtId="0" fontId="30" fillId="0" borderId="17" xfId="0" applyFont="1" applyBorder="1" applyAlignment="1">
      <alignment horizontal="left" vertical="center"/>
    </xf>
    <xf numFmtId="0" fontId="30" fillId="0" borderId="17" xfId="0" applyFont="1" applyBorder="1" applyAlignment="1">
      <alignment horizontal="center" vertical="center"/>
    </xf>
    <xf numFmtId="0" fontId="0" fillId="4" borderId="17" xfId="0" applyFill="1" applyBorder="1"/>
    <xf numFmtId="14" fontId="30" fillId="0" borderId="17" xfId="0" applyNumberFormat="1" applyFont="1" applyBorder="1" applyAlignment="1">
      <alignment horizontal="center" vertical="center"/>
    </xf>
    <xf numFmtId="0" fontId="0" fillId="0" borderId="17" xfId="0" applyBorder="1"/>
    <xf numFmtId="0" fontId="33" fillId="0" borderId="0" xfId="0" applyFont="1" applyAlignment="1">
      <alignment horizontal="center" vertical="center"/>
    </xf>
    <xf numFmtId="0" fontId="17" fillId="8" borderId="14" xfId="0" applyFont="1" applyFill="1" applyBorder="1"/>
    <xf numFmtId="0" fontId="17" fillId="8" borderId="14" xfId="0" applyFont="1" applyFill="1" applyBorder="1" applyAlignment="1">
      <alignment horizontal="center"/>
    </xf>
    <xf numFmtId="14" fontId="17" fillId="8" borderId="14" xfId="0" applyNumberFormat="1" applyFont="1" applyFill="1" applyBorder="1" applyAlignment="1">
      <alignment horizontal="center"/>
    </xf>
    <xf numFmtId="165" fontId="17" fillId="3" borderId="14" xfId="0" applyNumberFormat="1" applyFont="1" applyFill="1" applyBorder="1" applyAlignment="1">
      <alignment horizontal="center"/>
    </xf>
    <xf numFmtId="1" fontId="17" fillId="3" borderId="14" xfId="0" applyNumberFormat="1" applyFont="1" applyFill="1" applyBorder="1" applyAlignment="1">
      <alignment horizontal="center"/>
    </xf>
    <xf numFmtId="0" fontId="34" fillId="0" borderId="0" xfId="0" applyFont="1" applyAlignment="1">
      <alignment horizontal="center" vertical="center"/>
    </xf>
    <xf numFmtId="14" fontId="17" fillId="8" borderId="14" xfId="0" applyNumberFormat="1" applyFont="1" applyFill="1" applyBorder="1"/>
    <xf numFmtId="0" fontId="0" fillId="5" borderId="0" xfId="0" applyFill="1"/>
    <xf numFmtId="14" fontId="0" fillId="0" borderId="0" xfId="0" applyNumberFormat="1"/>
    <xf numFmtId="166" fontId="0" fillId="0" borderId="0" xfId="0" applyNumberFormat="1"/>
    <xf numFmtId="0" fontId="36" fillId="2" borderId="0" xfId="0" applyFont="1" applyFill="1" applyAlignment="1">
      <alignment horizontal="left" vertical="center"/>
    </xf>
    <xf numFmtId="0" fontId="38" fillId="10" borderId="0" xfId="0" applyFont="1" applyFill="1" applyAlignment="1">
      <alignment vertical="center"/>
    </xf>
    <xf numFmtId="0" fontId="39" fillId="0" borderId="0" xfId="0" applyFont="1" applyAlignment="1">
      <alignment horizontal="left" vertical="center"/>
    </xf>
    <xf numFmtId="0" fontId="38" fillId="11" borderId="0" xfId="0" applyFont="1" applyFill="1" applyAlignment="1">
      <alignment vertical="center"/>
    </xf>
    <xf numFmtId="0" fontId="40" fillId="0" borderId="0" xfId="0" applyFont="1" applyAlignment="1">
      <alignment horizontal="left" vertical="center"/>
    </xf>
    <xf numFmtId="0" fontId="38" fillId="5" borderId="0" xfId="0" applyFont="1" applyFill="1" applyAlignment="1">
      <alignment vertical="center"/>
    </xf>
    <xf numFmtId="0" fontId="41" fillId="0" borderId="0" xfId="0" applyFont="1" applyAlignment="1">
      <alignment horizontal="left" vertical="center"/>
    </xf>
    <xf numFmtId="0" fontId="38" fillId="12" borderId="0" xfId="0" applyFont="1" applyFill="1" applyAlignment="1">
      <alignment vertical="center"/>
    </xf>
    <xf numFmtId="0" fontId="42" fillId="0" borderId="0" xfId="0" applyFont="1" applyAlignment="1">
      <alignment horizontal="left" vertical="center"/>
    </xf>
    <xf numFmtId="0" fontId="0" fillId="13" borderId="0" xfId="0" applyFill="1"/>
    <xf numFmtId="0" fontId="43" fillId="2" borderId="19" xfId="0" applyFont="1" applyFill="1" applyBorder="1" applyAlignment="1">
      <alignment horizontal="center" vertical="center" wrapText="1"/>
    </xf>
    <xf numFmtId="0" fontId="44" fillId="2" borderId="0" xfId="0" applyFont="1" applyFill="1"/>
    <xf numFmtId="0" fontId="45" fillId="5" borderId="20" xfId="0" applyFont="1" applyFill="1" applyBorder="1" applyAlignment="1">
      <alignment horizontal="center" vertical="center"/>
    </xf>
    <xf numFmtId="0" fontId="45" fillId="5" borderId="20" xfId="0" applyFont="1" applyFill="1" applyBorder="1" applyAlignment="1">
      <alignment horizontal="left" vertical="center"/>
    </xf>
    <xf numFmtId="14" fontId="45" fillId="5" borderId="20" xfId="0" applyNumberFormat="1" applyFont="1" applyFill="1" applyBorder="1" applyAlignment="1">
      <alignment horizontal="center" vertical="center"/>
    </xf>
    <xf numFmtId="0" fontId="45" fillId="5" borderId="20" xfId="0" applyFont="1" applyFill="1" applyBorder="1" applyAlignment="1">
      <alignment horizontal="center"/>
    </xf>
    <xf numFmtId="0" fontId="45" fillId="5" borderId="20" xfId="0" applyFont="1" applyFill="1" applyBorder="1" applyAlignment="1">
      <alignment horizontal="left" vertical="center" wrapText="1"/>
    </xf>
    <xf numFmtId="0" fontId="45" fillId="0" borderId="20" xfId="0" applyFont="1" applyBorder="1" applyAlignment="1">
      <alignment horizontal="center" vertical="center"/>
    </xf>
    <xf numFmtId="0" fontId="46" fillId="0" borderId="0" xfId="0" applyFont="1" applyAlignment="1">
      <alignment horizontal="center"/>
    </xf>
    <xf numFmtId="14" fontId="47" fillId="14" borderId="21" xfId="0" applyNumberFormat="1" applyFont="1" applyFill="1" applyBorder="1" applyAlignment="1">
      <alignment horizontal="center" vertical="center"/>
    </xf>
    <xf numFmtId="0" fontId="50" fillId="2" borderId="22" xfId="0" applyFont="1" applyFill="1" applyBorder="1" applyAlignment="1">
      <alignment horizontal="center"/>
    </xf>
    <xf numFmtId="0" fontId="11" fillId="0" borderId="22" xfId="0" applyFont="1" applyBorder="1" applyAlignment="1">
      <alignment horizontal="center"/>
    </xf>
    <xf numFmtId="14" fontId="11" fillId="0" borderId="22" xfId="0" applyNumberFormat="1" applyFont="1" applyBorder="1" applyAlignment="1">
      <alignment horizontal="center"/>
    </xf>
    <xf numFmtId="0" fontId="16" fillId="5" borderId="0" xfId="0" applyFont="1" applyFill="1"/>
    <xf numFmtId="0" fontId="45" fillId="15" borderId="15" xfId="0" applyFont="1" applyFill="1" applyBorder="1" applyAlignment="1">
      <alignment horizontal="center" vertical="center"/>
    </xf>
    <xf numFmtId="0" fontId="45" fillId="15" borderId="15" xfId="0" applyFont="1" applyFill="1" applyBorder="1" applyAlignment="1">
      <alignment horizontal="left" vertical="center"/>
    </xf>
    <xf numFmtId="14" fontId="45" fillId="15" borderId="15" xfId="0" applyNumberFormat="1" applyFont="1" applyFill="1" applyBorder="1" applyAlignment="1">
      <alignment horizontal="center" vertical="center"/>
    </xf>
    <xf numFmtId="0" fontId="45" fillId="15" borderId="15" xfId="0" applyFont="1" applyFill="1" applyBorder="1" applyAlignment="1">
      <alignment horizontal="left" vertical="center" wrapText="1"/>
    </xf>
    <xf numFmtId="0" fontId="16" fillId="5" borderId="24" xfId="0" applyFont="1" applyFill="1" applyBorder="1" applyAlignment="1">
      <alignment horizontal="center" vertical="center" wrapText="1"/>
    </xf>
    <xf numFmtId="0" fontId="43" fillId="5" borderId="24" xfId="0" applyFont="1" applyFill="1" applyBorder="1" applyAlignment="1">
      <alignment horizontal="center" vertical="center" wrapText="1"/>
    </xf>
    <xf numFmtId="0" fontId="45" fillId="0" borderId="15" xfId="0" applyFont="1" applyBorder="1" applyAlignment="1">
      <alignment horizontal="center" vertical="center"/>
    </xf>
    <xf numFmtId="0" fontId="45" fillId="0" borderId="15" xfId="0" applyFont="1" applyBorder="1" applyAlignment="1">
      <alignment horizontal="left" vertical="center"/>
    </xf>
    <xf numFmtId="14" fontId="45" fillId="0" borderId="15" xfId="0" applyNumberFormat="1" applyFont="1" applyBorder="1" applyAlignment="1">
      <alignment horizontal="center" vertical="center"/>
    </xf>
    <xf numFmtId="0" fontId="45" fillId="0" borderId="15" xfId="0" applyFont="1" applyBorder="1" applyAlignment="1">
      <alignment horizontal="left" vertical="center" wrapText="1"/>
    </xf>
    <xf numFmtId="0" fontId="52" fillId="5" borderId="25" xfId="0" applyFont="1" applyFill="1" applyBorder="1" applyAlignment="1">
      <alignment horizontal="left" vertical="center" wrapText="1"/>
    </xf>
    <xf numFmtId="0" fontId="53" fillId="5" borderId="25" xfId="0" applyFont="1" applyFill="1" applyBorder="1" applyAlignment="1">
      <alignment horizontal="center" vertical="center"/>
    </xf>
    <xf numFmtId="0" fontId="16" fillId="5" borderId="25" xfId="0" applyFont="1" applyFill="1" applyBorder="1" applyAlignment="1">
      <alignment horizontal="left" vertical="center" wrapText="1"/>
    </xf>
    <xf numFmtId="0" fontId="16" fillId="5" borderId="25" xfId="0" applyFont="1" applyFill="1" applyBorder="1" applyAlignment="1">
      <alignment horizontal="center" vertical="center"/>
    </xf>
    <xf numFmtId="0" fontId="54" fillId="5" borderId="26" xfId="0" applyFont="1" applyFill="1" applyBorder="1" applyAlignment="1">
      <alignment horizontal="left" vertical="center" wrapText="1"/>
    </xf>
    <xf numFmtId="0" fontId="0" fillId="16" borderId="15" xfId="0" applyFill="1" applyBorder="1" applyAlignment="1" applyProtection="1">
      <alignment horizontal="center"/>
      <protection locked="0"/>
    </xf>
    <xf numFmtId="0" fontId="43" fillId="2" borderId="24" xfId="0" applyFont="1" applyFill="1" applyBorder="1" applyAlignment="1">
      <alignment horizontal="center" vertical="center" wrapText="1"/>
    </xf>
    <xf numFmtId="0" fontId="43" fillId="2" borderId="24" xfId="0" applyFont="1" applyFill="1" applyBorder="1" applyAlignment="1">
      <alignment horizontal="left" vertical="center" wrapText="1"/>
    </xf>
    <xf numFmtId="0" fontId="43" fillId="2" borderId="0" xfId="0" applyFont="1" applyFill="1" applyAlignment="1">
      <alignment horizontal="center" vertical="center"/>
    </xf>
    <xf numFmtId="0" fontId="43" fillId="2" borderId="24" xfId="0" applyFont="1" applyFill="1" applyBorder="1" applyAlignment="1">
      <alignment horizontal="center" vertical="center"/>
    </xf>
    <xf numFmtId="0" fontId="0" fillId="16" borderId="15" xfId="0" applyFill="1" applyBorder="1" applyAlignment="1">
      <alignment horizontal="left" vertical="center" wrapText="1"/>
    </xf>
    <xf numFmtId="14" fontId="0" fillId="16" borderId="15" xfId="0" applyNumberFormat="1" applyFill="1" applyBorder="1" applyAlignment="1">
      <alignment horizontal="left" vertical="center" wrapText="1"/>
    </xf>
    <xf numFmtId="0" fontId="0" fillId="17" borderId="15" xfId="0" applyFill="1" applyBorder="1" applyAlignment="1">
      <alignment horizontal="left" vertical="center" wrapText="1"/>
    </xf>
    <xf numFmtId="0" fontId="57" fillId="16" borderId="15" xfId="0" applyFont="1" applyFill="1" applyBorder="1" applyAlignment="1">
      <alignment horizontal="center" vertical="center"/>
    </xf>
    <xf numFmtId="0" fontId="0" fillId="16" borderId="15" xfId="0" applyFill="1" applyBorder="1"/>
    <xf numFmtId="0" fontId="0" fillId="5" borderId="15" xfId="0" applyFill="1" applyBorder="1" applyAlignment="1">
      <alignment horizontal="left" vertical="center" wrapText="1"/>
    </xf>
    <xf numFmtId="167" fontId="0" fillId="16" borderId="15" xfId="0" applyNumberFormat="1" applyFill="1" applyBorder="1" applyAlignment="1">
      <alignment horizontal="left" vertical="center" wrapText="1"/>
    </xf>
    <xf numFmtId="167" fontId="0" fillId="17" borderId="15" xfId="0" applyNumberFormat="1" applyFill="1" applyBorder="1" applyAlignment="1">
      <alignment horizontal="left" vertical="center" wrapText="1"/>
    </xf>
    <xf numFmtId="0" fontId="0" fillId="16" borderId="15" xfId="0" applyFill="1" applyBorder="1" applyAlignment="1">
      <alignment horizontal="center" vertical="center"/>
    </xf>
    <xf numFmtId="0" fontId="0" fillId="13" borderId="15" xfId="0" applyFill="1" applyBorder="1" applyAlignment="1">
      <alignment horizontal="left" vertical="center" wrapText="1"/>
    </xf>
    <xf numFmtId="0" fontId="58" fillId="16" borderId="15" xfId="0" applyFont="1" applyFill="1" applyBorder="1" applyAlignment="1">
      <alignment horizontal="center" vertical="center"/>
    </xf>
    <xf numFmtId="0" fontId="0" fillId="18" borderId="15" xfId="0" applyFill="1" applyBorder="1" applyAlignment="1">
      <alignment horizontal="left" vertical="center" wrapText="1"/>
    </xf>
    <xf numFmtId="167" fontId="0" fillId="18" borderId="15" xfId="0" applyNumberFormat="1" applyFill="1" applyBorder="1" applyAlignment="1">
      <alignment horizontal="left" vertical="center" wrapText="1"/>
    </xf>
    <xf numFmtId="167" fontId="0" fillId="5" borderId="15" xfId="0" applyNumberFormat="1" applyFill="1" applyBorder="1" applyAlignment="1">
      <alignment horizontal="left" vertical="center" wrapText="1"/>
    </xf>
    <xf numFmtId="14" fontId="0" fillId="16" borderId="15" xfId="0" applyNumberFormat="1" applyFill="1" applyBorder="1"/>
    <xf numFmtId="0" fontId="0" fillId="17" borderId="15" xfId="0" applyFill="1" applyBorder="1"/>
    <xf numFmtId="0" fontId="0" fillId="0" borderId="15" xfId="0" applyBorder="1"/>
    <xf numFmtId="167" fontId="0" fillId="16" borderId="15" xfId="0" applyNumberFormat="1" applyFill="1" applyBorder="1"/>
    <xf numFmtId="167" fontId="0" fillId="17" borderId="15" xfId="0" applyNumberFormat="1" applyFill="1" applyBorder="1"/>
    <xf numFmtId="0" fontId="59" fillId="16" borderId="15" xfId="0" applyFont="1" applyFill="1" applyBorder="1" applyAlignment="1">
      <alignment horizontal="left" vertical="center"/>
    </xf>
    <xf numFmtId="0" fontId="43" fillId="16" borderId="15" xfId="0" applyFont="1" applyFill="1" applyBorder="1" applyAlignment="1">
      <alignment horizontal="center" vertical="center"/>
    </xf>
    <xf numFmtId="14" fontId="43" fillId="16" borderId="15" xfId="0" applyNumberFormat="1" applyFont="1" applyFill="1" applyBorder="1" applyAlignment="1">
      <alignment horizontal="center" vertical="center"/>
    </xf>
    <xf numFmtId="0" fontId="43" fillId="17" borderId="15" xfId="0" applyFont="1" applyFill="1" applyBorder="1" applyAlignment="1">
      <alignment horizontal="center" vertical="center"/>
    </xf>
    <xf numFmtId="0" fontId="45" fillId="16" borderId="15" xfId="0" applyFont="1" applyFill="1" applyBorder="1"/>
    <xf numFmtId="0" fontId="45" fillId="16" borderId="15" xfId="0" applyFont="1" applyFill="1" applyBorder="1" applyAlignment="1">
      <alignment horizontal="center" vertical="center"/>
    </xf>
    <xf numFmtId="14" fontId="45" fillId="16" borderId="15" xfId="0" applyNumberFormat="1" applyFont="1" applyFill="1" applyBorder="1" applyAlignment="1">
      <alignment horizontal="center" vertical="center"/>
    </xf>
    <xf numFmtId="0" fontId="45" fillId="17" borderId="15" xfId="0" applyFont="1" applyFill="1" applyBorder="1" applyAlignment="1">
      <alignment horizontal="center" vertical="center"/>
    </xf>
    <xf numFmtId="0" fontId="12" fillId="0" borderId="0" xfId="0" applyFont="1" applyAlignment="1">
      <alignment horizontal="left" vertical="center"/>
    </xf>
    <xf numFmtId="1" fontId="12" fillId="0" borderId="0" xfId="0" applyNumberFormat="1" applyFont="1" applyAlignment="1">
      <alignment horizontal="center" vertical="center"/>
    </xf>
    <xf numFmtId="0" fontId="0" fillId="16" borderId="15" xfId="0" applyFill="1" applyBorder="1" applyAlignment="1">
      <alignment horizontal="center"/>
    </xf>
    <xf numFmtId="168" fontId="0" fillId="17" borderId="15" xfId="0" applyNumberFormat="1" applyFill="1" applyBorder="1" applyAlignment="1">
      <alignment horizontal="left" vertical="center" wrapText="1"/>
    </xf>
    <xf numFmtId="169" fontId="0" fillId="16" borderId="15" xfId="0" applyNumberFormat="1" applyFill="1" applyBorder="1" applyAlignment="1">
      <alignment horizontal="left" vertical="center" wrapText="1"/>
    </xf>
    <xf numFmtId="0" fontId="27" fillId="0" borderId="0" xfId="0" applyFont="1"/>
    <xf numFmtId="0" fontId="60" fillId="19" borderId="27" xfId="0" applyFont="1" applyFill="1" applyBorder="1" applyAlignment="1" applyProtection="1">
      <alignment horizontal="center"/>
      <protection locked="0"/>
    </xf>
    <xf numFmtId="0" fontId="61" fillId="0" borderId="0" xfId="0" applyFont="1"/>
    <xf numFmtId="0" fontId="64" fillId="2" borderId="17" xfId="0" applyFont="1" applyFill="1" applyBorder="1" applyAlignment="1">
      <alignment horizontal="center" vertical="center"/>
    </xf>
    <xf numFmtId="0" fontId="50" fillId="2" borderId="21" xfId="0" applyFont="1" applyFill="1" applyBorder="1" applyAlignment="1">
      <alignment horizontal="center" vertical="center" wrapText="1"/>
    </xf>
    <xf numFmtId="0" fontId="65" fillId="5" borderId="17" xfId="0" applyFont="1" applyFill="1" applyBorder="1" applyAlignment="1">
      <alignment horizontal="center" vertical="center"/>
    </xf>
    <xf numFmtId="0" fontId="65" fillId="5" borderId="17" xfId="0" applyFont="1" applyFill="1" applyBorder="1" applyAlignment="1">
      <alignment horizontal="left" vertical="center"/>
    </xf>
    <xf numFmtId="9" fontId="65" fillId="5" borderId="17" xfId="0" applyNumberFormat="1" applyFont="1" applyFill="1" applyBorder="1" applyAlignment="1">
      <alignment horizontal="center" vertical="center"/>
    </xf>
    <xf numFmtId="164" fontId="65" fillId="5" borderId="17" xfId="0" applyNumberFormat="1" applyFont="1" applyFill="1" applyBorder="1" applyAlignment="1">
      <alignment horizontal="center" vertical="center"/>
    </xf>
    <xf numFmtId="164" fontId="0" fillId="0" borderId="21" xfId="0" applyNumberFormat="1" applyBorder="1"/>
    <xf numFmtId="0" fontId="0" fillId="0" borderId="21" xfId="0" applyBorder="1" applyAlignment="1">
      <alignment horizontal="center"/>
    </xf>
    <xf numFmtId="0" fontId="65" fillId="20" borderId="17" xfId="0" applyFont="1" applyFill="1" applyBorder="1" applyAlignment="1">
      <alignment horizontal="center" vertical="center"/>
    </xf>
    <xf numFmtId="0" fontId="65" fillId="20" borderId="17" xfId="0" applyFont="1" applyFill="1" applyBorder="1" applyAlignment="1">
      <alignment horizontal="left" vertical="center"/>
    </xf>
    <xf numFmtId="9" fontId="65" fillId="20" borderId="17" xfId="0" applyNumberFormat="1" applyFont="1" applyFill="1" applyBorder="1" applyAlignment="1">
      <alignment horizontal="center" vertical="center"/>
    </xf>
    <xf numFmtId="164" fontId="65" fillId="20" borderId="17" xfId="0" applyNumberFormat="1" applyFont="1" applyFill="1" applyBorder="1" applyAlignment="1">
      <alignment horizontal="center" vertical="center"/>
    </xf>
    <xf numFmtId="0" fontId="66" fillId="2" borderId="28" xfId="0" applyFont="1" applyFill="1" applyBorder="1" applyAlignment="1">
      <alignment horizontal="center" vertical="center"/>
    </xf>
    <xf numFmtId="0" fontId="66" fillId="2" borderId="28" xfId="0" applyFont="1" applyFill="1" applyBorder="1" applyAlignment="1">
      <alignment horizontal="left" vertical="center"/>
    </xf>
    <xf numFmtId="164" fontId="9" fillId="2" borderId="21" xfId="0" applyNumberFormat="1" applyFont="1" applyFill="1" applyBorder="1"/>
    <xf numFmtId="0" fontId="0" fillId="2" borderId="21" xfId="0" applyFill="1" applyBorder="1"/>
    <xf numFmtId="0" fontId="33" fillId="4" borderId="17" xfId="0" applyFont="1" applyFill="1" applyBorder="1" applyAlignment="1">
      <alignment horizontal="center" vertical="center"/>
    </xf>
    <xf numFmtId="0" fontId="34" fillId="0" borderId="17" xfId="0" applyFont="1" applyBorder="1" applyAlignment="1">
      <alignment horizontal="left" vertical="center"/>
    </xf>
    <xf numFmtId="0" fontId="34" fillId="0" borderId="17" xfId="0" applyFont="1" applyBorder="1" applyAlignment="1">
      <alignment horizontal="center" vertical="center"/>
    </xf>
    <xf numFmtId="0" fontId="69" fillId="21" borderId="0" xfId="0" applyFont="1" applyFill="1" applyAlignment="1">
      <alignment horizontal="left" vertical="center"/>
    </xf>
    <xf numFmtId="0" fontId="70" fillId="22" borderId="14" xfId="0" applyFont="1" applyFill="1" applyBorder="1" applyAlignment="1">
      <alignment horizontal="center" vertical="center" wrapText="1"/>
    </xf>
    <xf numFmtId="0" fontId="71" fillId="0" borderId="14" xfId="0" applyFont="1" applyBorder="1" applyAlignment="1">
      <alignment horizontal="left" vertical="center" wrapText="1"/>
    </xf>
    <xf numFmtId="167" fontId="0" fillId="0" borderId="14" xfId="0" applyNumberFormat="1" applyBorder="1" applyAlignment="1">
      <alignment horizontal="center" vertical="center" wrapText="1"/>
    </xf>
    <xf numFmtId="0" fontId="71" fillId="23" borderId="14" xfId="0" applyFont="1" applyFill="1" applyBorder="1" applyAlignment="1">
      <alignment horizontal="left" vertical="center" wrapText="1"/>
    </xf>
    <xf numFmtId="167" fontId="0" fillId="23" borderId="14" xfId="0" applyNumberFormat="1" applyFill="1" applyBorder="1" applyAlignment="1">
      <alignment horizontal="center" vertical="center" wrapText="1"/>
    </xf>
    <xf numFmtId="0" fontId="0" fillId="0" borderId="14" xfId="0" applyBorder="1" applyAlignment="1">
      <alignment horizontal="left" vertical="center" wrapText="1"/>
    </xf>
    <xf numFmtId="0" fontId="0" fillId="23" borderId="14" xfId="0" applyFill="1" applyBorder="1" applyAlignment="1">
      <alignment horizontal="left" vertical="center" wrapText="1"/>
    </xf>
    <xf numFmtId="0" fontId="9" fillId="2" borderId="14" xfId="0" applyFont="1" applyFill="1" applyBorder="1" applyAlignment="1">
      <alignment horizontal="left" vertical="center" wrapText="1"/>
    </xf>
    <xf numFmtId="167" fontId="9" fillId="2" borderId="14" xfId="0" applyNumberFormat="1" applyFont="1" applyFill="1" applyBorder="1" applyAlignment="1">
      <alignment horizontal="center" vertical="center" wrapText="1"/>
    </xf>
    <xf numFmtId="0" fontId="49" fillId="0" borderId="0" xfId="0" applyFont="1"/>
    <xf numFmtId="0" fontId="9" fillId="2" borderId="0" xfId="0" applyFont="1" applyFill="1"/>
    <xf numFmtId="0" fontId="18" fillId="24" borderId="21" xfId="0" applyFont="1" applyFill="1" applyBorder="1" applyAlignment="1">
      <alignment horizontal="center"/>
    </xf>
    <xf numFmtId="0" fontId="73" fillId="0" borderId="0" xfId="0" applyFont="1"/>
    <xf numFmtId="1" fontId="73" fillId="0" borderId="21" xfId="0" applyNumberFormat="1" applyFont="1" applyBorder="1" applyAlignment="1">
      <alignment horizontal="center"/>
    </xf>
    <xf numFmtId="9" fontId="73" fillId="0" borderId="21" xfId="0" applyNumberFormat="1" applyFont="1" applyBorder="1" applyAlignment="1">
      <alignment horizontal="center"/>
    </xf>
    <xf numFmtId="0" fontId="74" fillId="0" borderId="0" xfId="0" applyFont="1"/>
    <xf numFmtId="1" fontId="74" fillId="0" borderId="21" xfId="0" applyNumberFormat="1" applyFont="1" applyBorder="1" applyAlignment="1">
      <alignment horizontal="center"/>
    </xf>
    <xf numFmtId="9" fontId="74" fillId="0" borderId="21" xfId="0" applyNumberFormat="1" applyFont="1" applyBorder="1" applyAlignment="1">
      <alignment horizontal="center"/>
    </xf>
    <xf numFmtId="0" fontId="75" fillId="0" borderId="0" xfId="0" applyFont="1"/>
    <xf numFmtId="164" fontId="73" fillId="0" borderId="21" xfId="0" applyNumberFormat="1" applyFont="1" applyBorder="1" applyAlignment="1">
      <alignment horizontal="center"/>
    </xf>
    <xf numFmtId="0" fontId="76" fillId="0" borderId="0" xfId="0" applyFont="1"/>
    <xf numFmtId="164" fontId="74" fillId="12" borderId="21" xfId="0" applyNumberFormat="1" applyFont="1" applyFill="1" applyBorder="1" applyAlignment="1">
      <alignment horizontal="center"/>
    </xf>
    <xf numFmtId="167" fontId="73" fillId="0" borderId="21" xfId="0" applyNumberFormat="1" applyFont="1" applyBorder="1" applyAlignment="1">
      <alignment horizontal="center"/>
    </xf>
    <xf numFmtId="164" fontId="74" fillId="0" borderId="21" xfId="0" applyNumberFormat="1" applyFont="1" applyBorder="1" applyAlignment="1">
      <alignment horizontal="center"/>
    </xf>
    <xf numFmtId="167" fontId="74" fillId="0" borderId="21" xfId="0" applyNumberFormat="1" applyFont="1" applyBorder="1" applyAlignment="1">
      <alignment horizontal="center"/>
    </xf>
    <xf numFmtId="1" fontId="74" fillId="12" borderId="21" xfId="0" applyNumberFormat="1" applyFont="1" applyFill="1" applyBorder="1" applyAlignment="1">
      <alignment horizontal="center"/>
    </xf>
    <xf numFmtId="0" fontId="72" fillId="2" borderId="29" xfId="0" applyFont="1" applyFill="1" applyBorder="1" applyAlignment="1">
      <alignment vertical="center" wrapText="1"/>
    </xf>
    <xf numFmtId="0" fontId="73" fillId="0" borderId="29" xfId="0" applyFont="1" applyBorder="1"/>
    <xf numFmtId="0" fontId="9" fillId="2" borderId="29" xfId="0" applyFont="1" applyFill="1" applyBorder="1" applyAlignment="1">
      <alignment vertical="center" wrapText="1"/>
    </xf>
    <xf numFmtId="0" fontId="73" fillId="0" borderId="29" xfId="0" applyFont="1" applyBorder="1" applyAlignment="1">
      <alignment vertical="center" wrapText="1"/>
    </xf>
    <xf numFmtId="0" fontId="9" fillId="2" borderId="29" xfId="0" applyFont="1" applyFill="1" applyBorder="1"/>
    <xf numFmtId="0" fontId="9" fillId="2" borderId="0" xfId="0" applyFont="1" applyFill="1" applyAlignment="1">
      <alignment horizontal="left" vertical="center" wrapText="1"/>
    </xf>
    <xf numFmtId="0" fontId="73" fillId="0" borderId="0" xfId="0" applyFont="1" applyAlignment="1">
      <alignment horizontal="left" vertical="top" wrapText="1"/>
    </xf>
    <xf numFmtId="0" fontId="77" fillId="0" borderId="0" xfId="0" applyFont="1"/>
    <xf numFmtId="0" fontId="78" fillId="0" borderId="0" xfId="0" applyFont="1"/>
    <xf numFmtId="0" fontId="70" fillId="3" borderId="25" xfId="0" applyFont="1" applyFill="1" applyBorder="1" applyAlignment="1">
      <alignment horizontal="center" vertical="center"/>
    </xf>
    <xf numFmtId="0" fontId="70" fillId="0" borderId="25" xfId="0" applyFont="1" applyBorder="1" applyAlignment="1">
      <alignment horizontal="center" vertical="center"/>
    </xf>
    <xf numFmtId="0" fontId="0" fillId="0" borderId="25" xfId="0" applyBorder="1" applyAlignment="1">
      <alignment horizontal="center" vertical="center"/>
    </xf>
    <xf numFmtId="0" fontId="50" fillId="2" borderId="22" xfId="0" applyFont="1" applyFill="1" applyBorder="1"/>
    <xf numFmtId="0" fontId="16" fillId="0" borderId="22" xfId="0" applyFont="1" applyBorder="1"/>
    <xf numFmtId="0" fontId="0" fillId="0" borderId="22" xfId="0" applyBorder="1" applyAlignment="1">
      <alignment horizontal="center"/>
    </xf>
    <xf numFmtId="0" fontId="0" fillId="0" borderId="22" xfId="0" applyBorder="1"/>
    <xf numFmtId="0" fontId="9" fillId="2" borderId="22" xfId="0" applyFont="1" applyFill="1" applyBorder="1"/>
    <xf numFmtId="0" fontId="16" fillId="0" borderId="22" xfId="0" applyFont="1" applyBorder="1" applyAlignment="1">
      <alignment horizontal="center"/>
    </xf>
    <xf numFmtId="0" fontId="43" fillId="2" borderId="30" xfId="0" applyFont="1" applyFill="1" applyBorder="1" applyAlignment="1">
      <alignment horizontal="left" vertical="center"/>
    </xf>
    <xf numFmtId="0" fontId="43" fillId="2" borderId="30" xfId="0" applyFont="1" applyFill="1" applyBorder="1" applyAlignment="1">
      <alignment horizontal="center" vertical="center"/>
    </xf>
    <xf numFmtId="0" fontId="82" fillId="18" borderId="30" xfId="0" applyFont="1" applyFill="1" applyBorder="1" applyAlignment="1">
      <alignment horizontal="left" vertical="center"/>
    </xf>
    <xf numFmtId="0" fontId="83" fillId="18" borderId="30" xfId="0" applyFont="1" applyFill="1" applyBorder="1" applyAlignment="1">
      <alignment horizontal="center" vertical="center"/>
    </xf>
    <xf numFmtId="0" fontId="83" fillId="18" borderId="30" xfId="0" applyFont="1" applyFill="1" applyBorder="1" applyAlignment="1">
      <alignment horizontal="left" vertical="center"/>
    </xf>
    <xf numFmtId="0" fontId="82" fillId="13" borderId="30" xfId="0" applyFont="1" applyFill="1" applyBorder="1" applyAlignment="1">
      <alignment horizontal="left" vertical="center"/>
    </xf>
    <xf numFmtId="0" fontId="83" fillId="13" borderId="30" xfId="0" applyFont="1" applyFill="1" applyBorder="1" applyAlignment="1">
      <alignment horizontal="center" vertical="center"/>
    </xf>
    <xf numFmtId="0" fontId="83" fillId="13" borderId="30" xfId="0" applyFont="1" applyFill="1" applyBorder="1" applyAlignment="1">
      <alignment horizontal="left" vertical="center"/>
    </xf>
    <xf numFmtId="0" fontId="43" fillId="25" borderId="30" xfId="0" applyFont="1" applyFill="1" applyBorder="1" applyAlignment="1">
      <alignment horizontal="left" vertical="center"/>
    </xf>
    <xf numFmtId="0" fontId="43" fillId="25" borderId="30" xfId="0" applyFont="1" applyFill="1" applyBorder="1" applyAlignment="1">
      <alignment horizontal="center" vertical="center"/>
    </xf>
    <xf numFmtId="0" fontId="82" fillId="22" borderId="30" xfId="0" applyFont="1" applyFill="1" applyBorder="1" applyAlignment="1">
      <alignment horizontal="left" vertical="center"/>
    </xf>
    <xf numFmtId="0" fontId="83" fillId="22" borderId="30" xfId="0" applyFont="1" applyFill="1" applyBorder="1" applyAlignment="1">
      <alignment horizontal="center" vertical="center"/>
    </xf>
    <xf numFmtId="0" fontId="83" fillId="22" borderId="30" xfId="0" applyFont="1" applyFill="1" applyBorder="1" applyAlignment="1">
      <alignment horizontal="left" vertical="center" wrapText="1"/>
    </xf>
    <xf numFmtId="0" fontId="83" fillId="26" borderId="30" xfId="0" applyFont="1" applyFill="1" applyBorder="1" applyAlignment="1">
      <alignment horizontal="left" vertical="center"/>
    </xf>
    <xf numFmtId="0" fontId="83" fillId="26" borderId="30" xfId="0" applyFont="1" applyFill="1" applyBorder="1" applyAlignment="1">
      <alignment horizontal="center" vertical="center"/>
    </xf>
    <xf numFmtId="0" fontId="83" fillId="26" borderId="30" xfId="0" applyFont="1" applyFill="1" applyBorder="1" applyAlignment="1">
      <alignment horizontal="left" vertical="center" wrapText="1"/>
    </xf>
    <xf numFmtId="0" fontId="83" fillId="6" borderId="30" xfId="0" applyFont="1" applyFill="1" applyBorder="1" applyAlignment="1">
      <alignment horizontal="left" vertical="center"/>
    </xf>
    <xf numFmtId="0" fontId="83" fillId="6" borderId="30" xfId="0" applyFont="1" applyFill="1" applyBorder="1" applyAlignment="1">
      <alignment horizontal="center" vertical="center"/>
    </xf>
    <xf numFmtId="0" fontId="83" fillId="6" borderId="30" xfId="0" applyFont="1" applyFill="1" applyBorder="1" applyAlignment="1">
      <alignment horizontal="left" vertical="center" wrapText="1"/>
    </xf>
    <xf numFmtId="0" fontId="83" fillId="13" borderId="30" xfId="0" applyFont="1" applyFill="1" applyBorder="1" applyAlignment="1">
      <alignment horizontal="left" vertical="center" wrapText="1"/>
    </xf>
    <xf numFmtId="0" fontId="84" fillId="18" borderId="30" xfId="0" applyFont="1" applyFill="1" applyBorder="1" applyAlignment="1">
      <alignment horizontal="center" vertical="center"/>
    </xf>
    <xf numFmtId="0" fontId="83" fillId="18" borderId="30" xfId="0" applyFont="1" applyFill="1" applyBorder="1" applyAlignment="1">
      <alignment horizontal="left" vertical="center" wrapText="1"/>
    </xf>
    <xf numFmtId="0" fontId="85" fillId="13" borderId="30" xfId="0" applyFont="1" applyFill="1" applyBorder="1" applyAlignment="1">
      <alignment horizontal="center" vertical="center"/>
    </xf>
    <xf numFmtId="0" fontId="85" fillId="18" borderId="30" xfId="0" applyFont="1" applyFill="1" applyBorder="1" applyAlignment="1">
      <alignment horizontal="center" vertical="center"/>
    </xf>
    <xf numFmtId="0" fontId="86" fillId="13" borderId="30" xfId="0" applyFont="1" applyFill="1" applyBorder="1" applyAlignment="1">
      <alignment horizontal="center" vertical="center"/>
    </xf>
    <xf numFmtId="0" fontId="84" fillId="13" borderId="30" xfId="0" applyFont="1" applyFill="1" applyBorder="1" applyAlignment="1">
      <alignment horizontal="center" vertical="center"/>
    </xf>
    <xf numFmtId="0" fontId="84" fillId="26" borderId="30" xfId="0" applyFont="1" applyFill="1" applyBorder="1" applyAlignment="1">
      <alignment horizontal="left" vertical="center"/>
    </xf>
    <xf numFmtId="0" fontId="59" fillId="2" borderId="0" xfId="0" applyFont="1" applyFill="1" applyAlignment="1">
      <alignment horizontal="center" vertical="center"/>
    </xf>
    <xf numFmtId="0" fontId="88" fillId="27" borderId="6" xfId="0" applyFont="1" applyFill="1" applyBorder="1" applyAlignment="1">
      <alignment horizontal="center" vertical="center"/>
    </xf>
    <xf numFmtId="0" fontId="89" fillId="20" borderId="3" xfId="0" applyFont="1" applyFill="1" applyBorder="1" applyAlignment="1">
      <alignment horizontal="center" vertical="center"/>
    </xf>
    <xf numFmtId="0" fontId="90" fillId="27" borderId="32" xfId="0" applyFont="1" applyFill="1" applyBorder="1" applyAlignment="1">
      <alignment horizontal="center" vertical="center"/>
    </xf>
    <xf numFmtId="0" fontId="91" fillId="26" borderId="33" xfId="0" applyFont="1" applyFill="1" applyBorder="1" applyAlignment="1">
      <alignment horizontal="center" vertical="center"/>
    </xf>
    <xf numFmtId="0" fontId="92" fillId="22" borderId="20" xfId="0" applyFont="1" applyFill="1" applyBorder="1" applyAlignment="1">
      <alignment horizontal="center" vertical="center"/>
    </xf>
    <xf numFmtId="0" fontId="93" fillId="9" borderId="5" xfId="0" applyFont="1" applyFill="1" applyBorder="1" applyAlignment="1">
      <alignment horizontal="center" vertical="center" wrapText="1"/>
    </xf>
    <xf numFmtId="0" fontId="0" fillId="13" borderId="25" xfId="0" applyFill="1" applyBorder="1"/>
    <xf numFmtId="0" fontId="89" fillId="20" borderId="3" xfId="0" applyFont="1" applyFill="1" applyBorder="1" applyAlignment="1">
      <alignment horizontal="center" vertical="center" wrapText="1"/>
    </xf>
    <xf numFmtId="0" fontId="88" fillId="27" borderId="6" xfId="0" applyFont="1" applyFill="1" applyBorder="1" applyAlignment="1">
      <alignment horizontal="center" vertical="center" wrapText="1"/>
    </xf>
    <xf numFmtId="0" fontId="91" fillId="26" borderId="33" xfId="0" applyFont="1" applyFill="1" applyBorder="1" applyAlignment="1">
      <alignment horizontal="center" vertical="center" wrapText="1"/>
    </xf>
    <xf numFmtId="0" fontId="90" fillId="27" borderId="32" xfId="0" applyFont="1" applyFill="1" applyBorder="1" applyAlignment="1">
      <alignment horizontal="center" vertical="center" wrapText="1"/>
    </xf>
    <xf numFmtId="0" fontId="90" fillId="9" borderId="32" xfId="0" applyFont="1" applyFill="1" applyBorder="1" applyAlignment="1">
      <alignment horizontal="center" vertical="center" wrapText="1"/>
    </xf>
    <xf numFmtId="0" fontId="94" fillId="15" borderId="34" xfId="0" applyFont="1" applyFill="1" applyBorder="1" applyAlignment="1">
      <alignment horizontal="center" vertical="center" wrapText="1"/>
    </xf>
    <xf numFmtId="0" fontId="95" fillId="26" borderId="20" xfId="0" applyFont="1" applyFill="1" applyBorder="1" applyAlignment="1">
      <alignment horizontal="center" vertical="center"/>
    </xf>
    <xf numFmtId="0" fontId="44" fillId="2" borderId="25" xfId="0" applyFont="1" applyFill="1" applyBorder="1" applyAlignment="1">
      <alignment horizontal="center" vertical="center"/>
    </xf>
    <xf numFmtId="0" fontId="44" fillId="2" borderId="35" xfId="0" applyFont="1" applyFill="1" applyBorder="1" applyAlignment="1">
      <alignment horizontal="center" vertical="center"/>
    </xf>
    <xf numFmtId="0" fontId="44" fillId="2" borderId="0" xfId="0" applyFont="1" applyFill="1" applyAlignment="1">
      <alignment horizontal="center" vertical="center"/>
    </xf>
    <xf numFmtId="0" fontId="9" fillId="2" borderId="22" xfId="0" applyFont="1" applyFill="1" applyBorder="1" applyAlignment="1">
      <alignment horizontal="center"/>
    </xf>
    <xf numFmtId="0" fontId="13" fillId="25" borderId="0" xfId="0" applyFont="1" applyFill="1"/>
    <xf numFmtId="0" fontId="16" fillId="0" borderId="0" xfId="0" applyFont="1"/>
    <xf numFmtId="0" fontId="13" fillId="2" borderId="22" xfId="0" applyFont="1" applyFill="1" applyBorder="1" applyAlignment="1">
      <alignment horizontal="center"/>
    </xf>
    <xf numFmtId="0" fontId="13" fillId="2" borderId="0" xfId="0" applyFont="1" applyFill="1"/>
    <xf numFmtId="0" fontId="15" fillId="0" borderId="0" xfId="0" applyFont="1"/>
    <xf numFmtId="0" fontId="17" fillId="0" borderId="22" xfId="0" applyFont="1" applyBorder="1"/>
    <xf numFmtId="0" fontId="13" fillId="2" borderId="22" xfId="0" applyFont="1" applyFill="1" applyBorder="1" applyAlignment="1">
      <alignment horizontal="center" wrapText="1"/>
    </xf>
    <xf numFmtId="14" fontId="0" fillId="8" borderId="0" xfId="0" applyNumberFormat="1" applyFill="1"/>
    <xf numFmtId="0" fontId="11" fillId="0" borderId="22" xfId="0" applyFont="1" applyBorder="1" applyAlignment="1">
      <alignment vertical="top" wrapText="1"/>
    </xf>
    <xf numFmtId="0" fontId="9" fillId="2" borderId="14" xfId="0" applyFont="1" applyFill="1" applyBorder="1" applyAlignment="1">
      <alignment horizontal="left" vertical="center" indent="1"/>
    </xf>
    <xf numFmtId="0" fontId="9" fillId="2" borderId="14" xfId="0" applyFont="1" applyFill="1" applyBorder="1" applyAlignment="1">
      <alignment horizontal="center" vertical="center"/>
    </xf>
    <xf numFmtId="0" fontId="70" fillId="0" borderId="14" xfId="0" applyFont="1" applyBorder="1" applyAlignment="1">
      <alignment horizontal="left" vertical="center" indent="1"/>
    </xf>
    <xf numFmtId="0" fontId="0" fillId="0" borderId="14" xfId="0" applyBorder="1" applyAlignment="1">
      <alignment horizontal="center" vertical="center"/>
    </xf>
    <xf numFmtId="9" fontId="0" fillId="0" borderId="14" xfId="0" applyNumberFormat="1" applyBorder="1" applyAlignment="1">
      <alignment horizontal="center" vertical="center"/>
    </xf>
    <xf numFmtId="0" fontId="70" fillId="28" borderId="14" xfId="0" applyFont="1" applyFill="1" applyBorder="1" applyAlignment="1">
      <alignment horizontal="left" vertical="center" indent="1"/>
    </xf>
    <xf numFmtId="0" fontId="0" fillId="28" borderId="14" xfId="0" applyFill="1" applyBorder="1" applyAlignment="1">
      <alignment horizontal="center" vertical="center"/>
    </xf>
    <xf numFmtId="9" fontId="0" fillId="28" borderId="14" xfId="0" applyNumberFormat="1" applyFill="1" applyBorder="1" applyAlignment="1">
      <alignment horizontal="center" vertical="center"/>
    </xf>
    <xf numFmtId="9" fontId="9" fillId="2" borderId="14" xfId="0" applyNumberFormat="1" applyFont="1" applyFill="1" applyBorder="1" applyAlignment="1">
      <alignment horizontal="center" vertical="center"/>
    </xf>
    <xf numFmtId="0" fontId="13" fillId="21" borderId="15" xfId="0" applyFont="1" applyFill="1" applyBorder="1" applyAlignment="1">
      <alignment horizontal="center" vertical="center" wrapText="1"/>
    </xf>
    <xf numFmtId="0" fontId="45" fillId="21" borderId="0" xfId="0" applyFont="1" applyFill="1" applyAlignment="1">
      <alignment horizontal="center"/>
    </xf>
    <xf numFmtId="14" fontId="45" fillId="21" borderId="0" xfId="0" applyNumberFormat="1" applyFont="1" applyFill="1" applyAlignment="1">
      <alignment horizontal="center" vertical="center"/>
    </xf>
    <xf numFmtId="0" fontId="45" fillId="21" borderId="0" xfId="0" applyFont="1" applyFill="1" applyAlignment="1">
      <alignment horizontal="center" vertical="center"/>
    </xf>
    <xf numFmtId="0" fontId="45" fillId="21" borderId="0" xfId="0" applyFont="1" applyFill="1" applyAlignment="1">
      <alignment horizontal="left" vertical="center" wrapText="1"/>
    </xf>
    <xf numFmtId="0" fontId="46" fillId="21" borderId="0" xfId="0" applyFont="1" applyFill="1" applyAlignment="1">
      <alignment horizontal="center"/>
    </xf>
    <xf numFmtId="14" fontId="47" fillId="21" borderId="0" xfId="0" applyNumberFormat="1" applyFont="1" applyFill="1" applyAlignment="1">
      <alignment horizontal="center" vertical="center"/>
    </xf>
    <xf numFmtId="0" fontId="13" fillId="21" borderId="15" xfId="0" applyFont="1" applyFill="1" applyBorder="1" applyAlignment="1">
      <alignment horizontal="center" wrapText="1"/>
    </xf>
    <xf numFmtId="0" fontId="9" fillId="21" borderId="0" xfId="0" applyFont="1" applyFill="1"/>
    <xf numFmtId="0" fontId="31" fillId="2" borderId="0" xfId="0" applyFont="1" applyFill="1" applyAlignment="1">
      <alignment vertical="center" indent="1"/>
    </xf>
    <xf numFmtId="0" fontId="32" fillId="3" borderId="0" xfId="0" applyFont="1" applyFill="1" applyAlignment="1">
      <alignment vertical="center" indent="1"/>
    </xf>
    <xf numFmtId="0" fontId="4" fillId="2" borderId="15" xfId="0" applyFont="1" applyFill="1" applyBorder="1" applyAlignment="1">
      <alignment horizontal="left" vertical="center"/>
    </xf>
    <xf numFmtId="0" fontId="9" fillId="2" borderId="0" xfId="0" applyFont="1" applyFill="1" applyAlignment="1">
      <alignment horizontal="left" vertical="center" indent="1"/>
    </xf>
    <xf numFmtId="0" fontId="9" fillId="2"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right" vertical="center"/>
    </xf>
    <xf numFmtId="0" fontId="4" fillId="2" borderId="1" xfId="0" applyFont="1" applyFill="1" applyBorder="1" applyAlignment="1">
      <alignment horizontal="left" vertical="center" indent="1"/>
    </xf>
    <xf numFmtId="0" fontId="26" fillId="2" borderId="0" xfId="0" applyFont="1" applyFill="1" applyAlignment="1">
      <alignment horizontal="left" vertical="center"/>
    </xf>
    <xf numFmtId="0" fontId="24" fillId="2" borderId="0" xfId="0" applyFont="1" applyFill="1" applyAlignment="1">
      <alignment horizontal="left" vertical="center"/>
    </xf>
    <xf numFmtId="0" fontId="25" fillId="2" borderId="0" xfId="0" applyFont="1" applyFill="1" applyAlignment="1">
      <alignment horizontal="left" vertical="center"/>
    </xf>
    <xf numFmtId="0" fontId="35" fillId="2" borderId="0" xfId="0" applyFont="1" applyFill="1" applyAlignment="1">
      <alignment horizontal="left" vertical="center"/>
    </xf>
    <xf numFmtId="0" fontId="37" fillId="9" borderId="18" xfId="0" applyFont="1" applyFill="1" applyBorder="1" applyAlignment="1">
      <alignment horizontal="left" vertical="center"/>
    </xf>
    <xf numFmtId="0" fontId="13" fillId="21" borderId="0" xfId="0" applyFont="1" applyFill="1" applyAlignment="1">
      <alignment horizontal="center" vertical="center"/>
    </xf>
    <xf numFmtId="0" fontId="31" fillId="2" borderId="0" xfId="0" applyFont="1" applyFill="1" applyAlignment="1">
      <alignment horizontal="left" vertical="center"/>
    </xf>
    <xf numFmtId="0" fontId="51" fillId="2" borderId="0" xfId="0" applyFont="1" applyFill="1" applyAlignment="1">
      <alignment horizontal="left" vertical="center"/>
    </xf>
    <xf numFmtId="0" fontId="55" fillId="2" borderId="0" xfId="0" applyFont="1" applyFill="1" applyAlignment="1">
      <alignment horizontal="left" vertical="center"/>
    </xf>
    <xf numFmtId="0" fontId="56" fillId="2" borderId="0" xfId="0" applyFont="1" applyFill="1" applyAlignment="1">
      <alignment horizontal="left" vertical="center"/>
    </xf>
    <xf numFmtId="0" fontId="51" fillId="0" borderId="0" xfId="0" applyFont="1" applyAlignment="1">
      <alignment horizontal="right"/>
    </xf>
    <xf numFmtId="0" fontId="68" fillId="0" borderId="0" xfId="0" applyFont="1" applyAlignment="1">
      <alignment horizontal="left"/>
    </xf>
    <xf numFmtId="0" fontId="67" fillId="2" borderId="0" xfId="0" applyFont="1" applyFill="1" applyAlignment="1">
      <alignment horizontal="left" vertical="center"/>
    </xf>
    <xf numFmtId="0" fontId="62" fillId="0" borderId="0" xfId="0" applyFont="1" applyAlignment="1">
      <alignment horizontal="left" vertical="center"/>
    </xf>
    <xf numFmtId="0" fontId="63" fillId="0" borderId="0" xfId="0" applyFont="1" applyAlignment="1">
      <alignment horizontal="right" vertical="center"/>
    </xf>
    <xf numFmtId="0" fontId="72" fillId="2" borderId="0" xfId="0" applyFont="1" applyFill="1" applyAlignment="1">
      <alignment horizontal="left" vertical="center" indent="1"/>
    </xf>
    <xf numFmtId="0" fontId="83" fillId="26" borderId="31" xfId="0" applyFont="1" applyFill="1" applyBorder="1" applyAlignment="1">
      <alignment horizontal="left" vertical="center"/>
    </xf>
    <xf numFmtId="0" fontId="43" fillId="2" borderId="30" xfId="0" applyFont="1" applyFill="1" applyBorder="1" applyAlignment="1">
      <alignment horizontal="left" vertical="center"/>
    </xf>
    <xf numFmtId="0" fontId="69" fillId="2" borderId="0" xfId="0" applyFont="1" applyFill="1" applyAlignment="1">
      <alignment horizontal="left" vertical="center"/>
    </xf>
    <xf numFmtId="0" fontId="81" fillId="18" borderId="0" xfId="0" applyFont="1" applyFill="1" applyAlignment="1">
      <alignment horizontal="left" vertical="center"/>
    </xf>
    <xf numFmtId="0" fontId="35" fillId="2" borderId="0" xfId="0" applyFont="1" applyFill="1" applyAlignment="1">
      <alignment horizontal="center" vertical="center"/>
    </xf>
    <xf numFmtId="0" fontId="80" fillId="2" borderId="0" xfId="0" applyFont="1" applyFill="1" applyAlignment="1">
      <alignment horizontal="left" vertical="center"/>
    </xf>
    <xf numFmtId="0" fontId="95" fillId="26" borderId="0" xfId="0" applyFont="1" applyFill="1" applyAlignment="1">
      <alignment horizontal="left" vertical="center"/>
    </xf>
    <xf numFmtId="0" fontId="96" fillId="13" borderId="0" xfId="0" applyFont="1" applyFill="1" applyAlignment="1">
      <alignment horizontal="left" vertical="center"/>
    </xf>
    <xf numFmtId="0" fontId="59" fillId="2" borderId="0" xfId="0" applyFont="1" applyFill="1" applyAlignment="1">
      <alignment horizontal="left" vertical="center"/>
    </xf>
    <xf numFmtId="0" fontId="87" fillId="2" borderId="0" xfId="0" applyFont="1" applyFill="1" applyAlignment="1">
      <alignment horizontal="left" vertical="center"/>
    </xf>
    <xf numFmtId="0" fontId="59" fillId="2" borderId="0" xfId="0" applyFont="1" applyFill="1" applyAlignment="1">
      <alignment horizontal="center" vertical="center"/>
    </xf>
    <xf numFmtId="0" fontId="98" fillId="9" borderId="0" xfId="0" applyFont="1" applyFill="1" applyAlignment="1">
      <alignment horizontal="center" vertical="center"/>
    </xf>
    <xf numFmtId="0" fontId="99" fillId="13" borderId="0" xfId="0" applyFont="1" applyFill="1" applyAlignment="1">
      <alignment horizontal="left" vertical="center"/>
    </xf>
    <xf numFmtId="0" fontId="3" fillId="2" borderId="0" xfId="0" applyFont="1" applyFill="1" applyAlignment="1">
      <alignment horizontal="left" vertical="center"/>
    </xf>
    <xf numFmtId="0" fontId="97" fillId="18" borderId="0" xfId="0" applyFont="1" applyFill="1" applyAlignment="1">
      <alignment horizontal="left" vertical="center"/>
    </xf>
    <xf numFmtId="0" fontId="59" fillId="9" borderId="0" xfId="0" applyFont="1" applyFill="1" applyAlignment="1">
      <alignment horizontal="left" vertical="center"/>
    </xf>
    <xf numFmtId="0" fontId="59" fillId="2" borderId="35" xfId="0" applyFont="1" applyFill="1" applyBorder="1" applyAlignment="1">
      <alignment horizontal="left" vertical="center"/>
    </xf>
    <xf numFmtId="0" fontId="79" fillId="2" borderId="0" xfId="0" applyFont="1" applyFill="1" applyAlignment="1">
      <alignment horizontal="left" vertical="center" indent="1"/>
    </xf>
    <xf numFmtId="0" fontId="101" fillId="0" borderId="0" xfId="0" applyFont="1" applyAlignment="1">
      <alignment horizontal="left" vertical="center" indent="1"/>
    </xf>
    <xf numFmtId="0" fontId="0" fillId="2" borderId="0" xfId="0" applyFill="1" applyAlignment="1"/>
    <xf numFmtId="0" fontId="0" fillId="9" borderId="0" xfId="0" applyFill="1" applyAlignment="1"/>
    <xf numFmtId="0" fontId="48" fillId="9" borderId="0" xfId="0" applyFont="1" applyFill="1" applyAlignment="1"/>
    <xf numFmtId="0" fontId="49" fillId="5" borderId="0" xfId="0" applyFont="1" applyFill="1" applyAlignment="1"/>
    <xf numFmtId="0" fontId="48" fillId="9" borderId="23" xfId="0" applyFont="1" applyFill="1" applyBorder="1" applyAlignment="1"/>
    <xf numFmtId="0" fontId="49" fillId="5" borderId="23" xfId="0" applyFont="1" applyFill="1" applyBorder="1" applyAlignment="1"/>
    <xf numFmtId="0" fontId="0" fillId="0" borderId="0" xfId="0" applyAlignment="1"/>
    <xf numFmtId="0" fontId="18" fillId="0" borderId="0" xfId="0" applyFont="1" applyAlignment="1"/>
    <xf numFmtId="0" fontId="72" fillId="2" borderId="0" xfId="0" applyFont="1" applyFill="1" applyAlignment="1"/>
    <xf numFmtId="0" fontId="9" fillId="2" borderId="0" xfId="0" applyFont="1" applyFill="1" applyAlignment="1"/>
    <xf numFmtId="0" fontId="79" fillId="2" borderId="0" xfId="0" applyFont="1" applyFill="1" applyAlignment="1"/>
    <xf numFmtId="0" fontId="49" fillId="0" borderId="0" xfId="0" applyFont="1" applyAlignment="1"/>
    <xf numFmtId="0" fontId="100" fillId="0" borderId="0" xfId="0" applyFont="1" applyAlignment="1"/>
    <xf numFmtId="0" fontId="50" fillId="2" borderId="0" xfId="0" applyFont="1" applyFill="1" applyAlignment="1"/>
  </cellXfs>
  <cellStyles count="1">
    <cellStyle name="Normal" xfId="0" builtinId="0"/>
  </cellStyles>
  <dxfs count="57">
    <dxf>
      <fill>
        <patternFill>
          <bgColor rgb="FFFFC7CE"/>
        </patternFill>
      </fill>
    </dxf>
    <dxf>
      <font>
        <b/>
        <color rgb="FF9C5700"/>
      </font>
      <fill>
        <patternFill>
          <bgColor rgb="FFFFE699"/>
        </patternFill>
      </fill>
    </dxf>
    <dxf>
      <font>
        <b/>
        <color rgb="FF9C0006"/>
      </font>
      <fill>
        <patternFill>
          <bgColor rgb="FFFFC7CE"/>
        </patternFill>
      </fill>
    </dxf>
    <dxf>
      <fill>
        <patternFill>
          <bgColor rgb="FFFFC7CE"/>
        </patternFill>
      </fill>
    </dxf>
    <dxf>
      <font>
        <b/>
        <color rgb="FF9C5700"/>
      </font>
      <fill>
        <patternFill>
          <bgColor rgb="FFFFE699"/>
        </patternFill>
      </fill>
    </dxf>
    <dxf>
      <font>
        <b/>
        <color rgb="FF9C0006"/>
      </font>
      <fill>
        <patternFill>
          <bgColor rgb="FFFFC7CE"/>
        </patternFill>
      </fill>
    </dxf>
    <dxf>
      <fill>
        <patternFill>
          <bgColor rgb="FFFFC7CE"/>
        </patternFill>
      </fill>
    </dxf>
    <dxf>
      <font>
        <b/>
        <color rgb="FF9C5700"/>
      </font>
      <fill>
        <patternFill>
          <bgColor rgb="FFFFE699"/>
        </patternFill>
      </fill>
    </dxf>
    <dxf>
      <font>
        <b/>
        <color rgb="FF9C0006"/>
      </font>
      <fill>
        <patternFill>
          <bgColor rgb="FFFFC7CE"/>
        </patternFill>
      </fill>
    </dxf>
    <dxf>
      <fill>
        <patternFill>
          <bgColor rgb="FFFFC7CE"/>
        </patternFill>
      </fill>
    </dxf>
    <dxf>
      <font>
        <b/>
        <color rgb="FF9C5700"/>
      </font>
      <fill>
        <patternFill>
          <bgColor rgb="FFFFE699"/>
        </patternFill>
      </fill>
    </dxf>
    <dxf>
      <font>
        <b/>
        <color rgb="FF9C0006"/>
      </font>
      <fill>
        <patternFill>
          <bgColor rgb="FFFFC7CE"/>
        </patternFill>
      </fill>
    </dxf>
    <dxf>
      <fill>
        <patternFill>
          <bgColor rgb="FFFFC7CE"/>
        </patternFill>
      </fill>
    </dxf>
    <dxf>
      <font>
        <b/>
        <color rgb="FF9C5700"/>
      </font>
      <fill>
        <patternFill>
          <bgColor rgb="FFFFE699"/>
        </patternFill>
      </fill>
    </dxf>
    <dxf>
      <font>
        <b/>
        <color rgb="FF9C0006"/>
      </font>
      <fill>
        <patternFill>
          <bgColor rgb="FFFFC7CE"/>
        </patternFill>
      </fill>
    </dxf>
    <dxf>
      <fill>
        <patternFill>
          <bgColor rgb="FFFFC7CE"/>
        </patternFill>
      </fill>
    </dxf>
    <dxf>
      <font>
        <b/>
        <color rgb="FF9C5700"/>
      </font>
      <fill>
        <patternFill>
          <bgColor rgb="FFFFE699"/>
        </patternFill>
      </fill>
    </dxf>
    <dxf>
      <font>
        <b/>
        <color rgb="FF9C0006"/>
      </font>
      <fill>
        <patternFill>
          <bgColor rgb="FFFFC7CE"/>
        </patternFill>
      </fill>
    </dxf>
    <dxf>
      <font>
        <b/>
        <color rgb="FF3A2E00"/>
      </font>
      <fill>
        <patternFill>
          <bgColor rgb="FFD4A017"/>
        </patternFill>
      </fill>
    </dxf>
    <dxf>
      <font>
        <b/>
        <color rgb="FFFFFFFF"/>
      </font>
      <fill>
        <patternFill>
          <bgColor rgb="FF1B7F3B"/>
        </patternFill>
      </fill>
    </dxf>
    <dxf>
      <font>
        <b/>
        <color rgb="FFFFFFFF"/>
      </font>
      <fill>
        <patternFill>
          <bgColor rgb="FF2D6CDF"/>
        </patternFill>
      </fill>
    </dxf>
    <dxf>
      <font>
        <b/>
        <color rgb="FF3A2E00"/>
      </font>
      <fill>
        <patternFill>
          <bgColor rgb="FFD4A017"/>
        </patternFill>
      </fill>
    </dxf>
    <dxf>
      <font>
        <b/>
        <color rgb="FFFFFFFF"/>
      </font>
      <fill>
        <patternFill>
          <bgColor rgb="FF1B7F3B"/>
        </patternFill>
      </fill>
    </dxf>
    <dxf>
      <font>
        <b/>
        <color rgb="FFFFFFFF"/>
      </font>
      <fill>
        <patternFill>
          <bgColor rgb="FF2D6CDF"/>
        </patternFill>
      </fill>
    </dxf>
    <dxf>
      <fill>
        <patternFill>
          <bgColor rgb="FFFCEFC7"/>
        </patternFill>
      </fill>
    </dxf>
    <dxf>
      <font>
        <b/>
      </font>
      <fill>
        <patternFill>
          <bgColor rgb="FFFFC000"/>
        </patternFill>
      </fill>
    </dxf>
    <dxf>
      <fill>
        <patternFill>
          <bgColor rgb="FFFFC7CE"/>
        </patternFill>
      </fill>
    </dxf>
    <dxf>
      <font>
        <b/>
        <color rgb="FF9C5700"/>
      </font>
      <fill>
        <patternFill>
          <bgColor rgb="FFFFE699"/>
        </patternFill>
      </fill>
    </dxf>
    <dxf>
      <font>
        <b/>
        <color rgb="FF9C0006"/>
      </font>
      <fill>
        <patternFill>
          <bgColor rgb="FFFFC7CE"/>
        </patternFill>
      </fill>
    </dxf>
    <dxf>
      <font>
        <b/>
        <color rgb="FF9C5700"/>
      </font>
      <fill>
        <patternFill>
          <bgColor rgb="FFFFE699"/>
        </patternFill>
      </fill>
    </dxf>
    <dxf>
      <font>
        <b/>
        <color rgb="FF9C0006"/>
      </font>
      <fill>
        <patternFill>
          <bgColor rgb="FFFFC7CE"/>
        </patternFill>
      </fill>
    </dxf>
    <dxf>
      <font>
        <b/>
        <color rgb="FF9C5700"/>
      </font>
      <fill>
        <patternFill>
          <bgColor rgb="FFFFE699"/>
        </patternFill>
      </fill>
    </dxf>
    <dxf>
      <font>
        <b/>
        <sz val="10"/>
        <color rgb="FF7F5F00"/>
      </font>
      <fill>
        <patternFill>
          <bgColor rgb="FFFFE699"/>
        </patternFill>
      </fill>
    </dxf>
    <dxf>
      <font>
        <b/>
        <sz val="10"/>
        <color rgb="FF1F3864"/>
      </font>
      <fill>
        <patternFill>
          <bgColor rgb="FFDDEBF7"/>
        </patternFill>
      </fill>
    </dxf>
    <dxf>
      <font>
        <b/>
        <sz val="10"/>
        <color rgb="FF1F6B2F"/>
      </font>
      <fill>
        <patternFill>
          <bgColor rgb="FFC6EFCE"/>
        </patternFill>
      </fill>
    </dxf>
    <dxf>
      <font>
        <b/>
        <color rgb="FF9C0006"/>
      </font>
      <fill>
        <patternFill>
          <bgColor rgb="FFFFC7CE"/>
        </patternFill>
      </fill>
    </dxf>
    <dxf>
      <fill>
        <patternFill>
          <bgColor rgb="FFFFEB9C"/>
        </patternFill>
      </fill>
    </dxf>
    <dxf>
      <fill>
        <patternFill>
          <bgColor rgb="FFFFC7CE"/>
        </patternFill>
      </fill>
    </dxf>
    <dxf>
      <font>
        <b/>
        <color rgb="FF3A2E00"/>
      </font>
      <fill>
        <patternFill>
          <bgColor rgb="FFD4A017"/>
        </patternFill>
      </fill>
    </dxf>
    <dxf>
      <font>
        <b/>
        <color rgb="FFFFFFFF"/>
      </font>
      <fill>
        <patternFill>
          <bgColor rgb="FF1B7F3B"/>
        </patternFill>
      </fill>
    </dxf>
    <dxf>
      <font>
        <b/>
        <color rgb="FFFFFFFF"/>
      </font>
      <fill>
        <patternFill>
          <bgColor rgb="FF2D6CDF"/>
        </patternFill>
      </fill>
    </dxf>
    <dxf>
      <fill>
        <patternFill>
          <bgColor rgb="FFBDD7EE"/>
        </patternFill>
      </fill>
    </dxf>
    <dxf>
      <fill>
        <patternFill>
          <bgColor rgb="FFC6EFCE"/>
        </patternFill>
      </fill>
    </dxf>
    <dxf>
      <fill>
        <patternFill>
          <bgColor rgb="FFFFC7CE"/>
        </patternFill>
      </fill>
    </dxf>
    <dxf>
      <fill>
        <patternFill>
          <bgColor rgb="FFFFEB9C"/>
        </patternFill>
      </fill>
    </dxf>
    <dxf>
      <fill>
        <patternFill>
          <bgColor rgb="FFFFC7CE"/>
        </patternFill>
      </fill>
    </dxf>
    <dxf>
      <font>
        <b/>
        <color rgb="FF3A2E00"/>
      </font>
      <fill>
        <patternFill>
          <bgColor rgb="FFD4A017"/>
        </patternFill>
      </fill>
    </dxf>
    <dxf>
      <font>
        <b/>
        <color rgb="FFFFFFFF"/>
      </font>
      <fill>
        <patternFill>
          <bgColor rgb="FF1B7F3B"/>
        </patternFill>
      </fill>
    </dxf>
    <dxf>
      <font>
        <b/>
        <color rgb="FFFFFFFF"/>
      </font>
      <fill>
        <patternFill>
          <bgColor rgb="FF2D6CDF"/>
        </patternFill>
      </fill>
    </dxf>
    <dxf>
      <fill>
        <patternFill>
          <bgColor rgb="FFBDD7EE"/>
        </patternFill>
      </fill>
    </dxf>
    <dxf>
      <fill>
        <patternFill>
          <bgColor rgb="FFC6EFCE"/>
        </patternFill>
      </fill>
    </dxf>
    <dxf>
      <fill>
        <patternFill>
          <bgColor rgb="FFFFC7CE"/>
        </patternFill>
      </fill>
    </dxf>
    <dxf>
      <fill>
        <patternFill>
          <bgColor rgb="FFFFE5B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7B3F00"/>
        <name val="Calibri"/>
        <charset val="1"/>
      </font>
      <fill>
        <patternFill>
          <bgColor rgb="FFFDEBD0"/>
        </patternFill>
      </fill>
    </dxf>
  </dxfs>
  <tableStyles count="0" defaultTableStyle="TableStyleMedium2" defaultPivotStyle="PivotStyleLight16"/>
  <colors>
    <indexedColors>
      <rgbColor rgb="FF000000"/>
      <rgbColor rgb="FFFFFFFF"/>
      <rgbColor rgb="FFFFF2CC"/>
      <rgbColor rgb="FFEDF3F1"/>
      <rgbColor rgb="FFF6F9F9"/>
      <rgbColor rgb="FFFFE699"/>
      <rgbColor rgb="FFFFEBEE"/>
      <rgbColor rgb="FFE9EDFC"/>
      <rgbColor rgb="FF9C0005"/>
      <rgbColor rgb="FF1D7F3A"/>
      <rgbColor rgb="FF144C8C"/>
      <rgbColor rgb="FF7E7559"/>
      <rgbColor rgb="FFF2F2F2"/>
      <rgbColor rgb="FF0F605B"/>
      <rgbColor rgb="FFBFBFC8"/>
      <rgbColor rgb="FF7F8978"/>
      <rgbColor rgb="FFCBD8D5"/>
      <rgbColor rgb="FF8C5000"/>
      <rgbColor rgb="FFFFF9D9"/>
      <rgbColor rgb="FFE1F1FD"/>
      <rgbColor rgb="FFF1F6FC"/>
      <rgbColor rgb="FFB8860B"/>
      <rgbColor rgb="FF2C74B7"/>
      <rgbColor rgb="FFBDD7EE"/>
      <rgbColor rgb="FFFBFBFB"/>
      <rgbColor rgb="FFFDEFD7"/>
      <rgbColor rgb="FFFFEAA9"/>
      <rgbColor rgb="FFECF4F1"/>
      <rgbColor rgb="FFEDF4FD"/>
      <rgbColor rgb="FFFFF6DD"/>
      <rgbColor rgb="FF11605B"/>
      <rgbColor rgb="FFF7F9F9"/>
      <rgbColor rgb="FFDEDDE9"/>
      <rgbColor rgb="FFEAF3FD"/>
      <rgbColor rgb="FFCAF0D8"/>
      <rgbColor rgb="FFFFEB9C"/>
      <rgbColor rgb="FFCBCDCD"/>
      <rgbColor rgb="FFD0D0D0"/>
      <rgbColor rgb="FFC8BFB0"/>
      <rgbColor rgb="FFFFC7CE"/>
      <rgbColor rgb="FF2D6CDF"/>
      <rgbColor rgb="FFDDDFF0"/>
      <rgbColor rgb="FFD9D9D9"/>
      <rgbColor rgb="FFEEB309"/>
      <rgbColor rgb="FFF47C0B"/>
      <rgbColor rgb="FFFB6000"/>
      <rgbColor rgb="FF576669"/>
      <rgbColor rgb="FFB4B4B4"/>
      <rgbColor rgb="FF1F2C68"/>
      <rgbColor rgb="FFE1DDDD"/>
      <rgbColor rgb="FF1D6020"/>
      <rgbColor rgb="FF241E05"/>
      <rgbColor rgb="FFAD2330"/>
      <rgbColor rgb="FF9C5700"/>
      <rgbColor rgb="FF20375B"/>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showGridLines="0" zoomScale="140" zoomScaleNormal="140" workbookViewId="0">
      <pane ySplit="6" topLeftCell="A7" activePane="bottomLeft" state="frozen"/>
      <selection pane="bottomLeft" activeCell="F10" sqref="F10"/>
    </sheetView>
  </sheetViews>
  <sheetFormatPr defaultColWidth="0" defaultRowHeight="15" zeroHeight="1"/>
  <cols>
    <col min="1" max="1" width="46" customWidth="1"/>
    <col min="2" max="2" width="13"/>
    <col min="3" max="3" width="16" customWidth="1"/>
    <col min="4" max="4" width="14" customWidth="1"/>
    <col min="5" max="5" width="28" customWidth="1"/>
    <col min="6" max="7" width="13"/>
    <col min="8" max="8" width="11" customWidth="1"/>
    <col min="9" max="9" width="13"/>
    <col min="10" max="10" width="18" customWidth="1"/>
    <col min="11" max="16384" width="13" hidden="1"/>
  </cols>
  <sheetData>
    <row r="1" spans="1:10" ht="30" customHeight="1">
      <c r="A1" s="294" t="s">
        <v>0</v>
      </c>
      <c r="B1" s="294"/>
      <c r="C1" s="294"/>
      <c r="D1" s="294"/>
      <c r="E1" s="294"/>
      <c r="F1" s="294"/>
      <c r="G1" s="294"/>
      <c r="H1" s="294"/>
      <c r="I1" s="294"/>
      <c r="J1" s="294"/>
    </row>
    <row r="2" spans="1:10" ht="18" customHeight="1">
      <c r="A2" s="295" t="str">
        <f ca="1">"Updated: "&amp;TEXT(NOW(),"ddd M/D h:MM AM/PM")</f>
        <v>Updated: Wed 6/17 12:48 PM</v>
      </c>
      <c r="B2" s="295"/>
      <c r="C2" s="295"/>
      <c r="D2" s="295"/>
      <c r="E2" s="296" t="str">
        <f>"Total: "&amp;(COUNTIF('🛏 HP Bed Board'!B10:B23,"Occupied")+(COUNTIF('🛏 HPE Bed Board'!B11:B16,"Occupied")+COUNTIF('🛏 HPE Bed Board'!B18:B23,"Occupied")))&amp;"/26  ·  "&amp;(COUNTIF('🛏 HP Bed Board'!B10:B23,"Open")+(COUNTIF('🛏 HPE Bed Board'!B11:B16,"Open")+COUNTIF('🛏 HPE Bed Board'!B18:B23,"Open")))&amp;" open"</f>
        <v>Total: 20/26  ·  5 open</v>
      </c>
      <c r="F2" s="296"/>
      <c r="G2" s="296"/>
      <c r="H2" s="296"/>
    </row>
    <row r="3" spans="1:10" ht="4.5" customHeight="1">
      <c r="A3" s="333"/>
      <c r="B3" s="333"/>
      <c r="C3" s="333"/>
      <c r="D3" s="333"/>
      <c r="E3" s="333"/>
      <c r="F3" s="333"/>
      <c r="G3" s="333"/>
      <c r="H3" s="333"/>
    </row>
    <row r="4" spans="1:10" ht="19.5" customHeight="1">
      <c r="A4" s="297" t="s">
        <v>1</v>
      </c>
      <c r="B4" s="297"/>
      <c r="C4" s="297"/>
      <c r="D4" s="297"/>
      <c r="E4" s="297"/>
      <c r="F4" s="297"/>
      <c r="G4" s="297"/>
      <c r="H4" s="297"/>
    </row>
    <row r="5" spans="1:10" ht="13.5" customHeight="1">
      <c r="A5" s="1" t="s">
        <v>2</v>
      </c>
      <c r="B5" s="2" t="s">
        <v>3</v>
      </c>
      <c r="C5" s="3" t="s">
        <v>4</v>
      </c>
      <c r="D5" s="4" t="s">
        <v>5</v>
      </c>
      <c r="E5" s="5" t="s">
        <v>6</v>
      </c>
      <c r="F5" s="2" t="s">
        <v>7</v>
      </c>
      <c r="G5" s="3" t="s">
        <v>8</v>
      </c>
      <c r="H5" s="6" t="s">
        <v>9</v>
      </c>
      <c r="I5" s="7"/>
      <c r="J5" s="7"/>
    </row>
    <row r="6" spans="1:10" ht="30" customHeight="1">
      <c r="A6" s="8" t="str">
        <f>COUNTIF('🛏 HP Bed Board'!B10:B23,"Occupied")&amp;"/14"</f>
        <v>11/14</v>
      </c>
      <c r="B6" s="9" t="str">
        <f>(COUNTIF('🛏 HPE Bed Board'!B11:B16,"Occupied")+COUNTIF('🛏 HPE Bed Board'!B18:B23,"Occupied"))&amp;"/12"</f>
        <v>9/12</v>
      </c>
      <c r="C6" s="10" t="str">
        <f>(COUNTIF('🛏 HP Bed Board'!B10:B23,"Occupied")+(COUNTIF('🛏 HPE Bed Board'!B11:B16,"Occupied")+COUNTIF('🛏 HPE Bed Board'!B18:B23,"Occupied")))&amp;"/26"</f>
        <v>20/26</v>
      </c>
      <c r="D6" s="11">
        <f>COUNTIF('🛏 HP Bed Board'!B10:B23,"Open")+(COUNTIF('🛏 HPE Bed Board'!B11:B16,"Open")+COUNTIF('🛏 HPE Bed Board'!B18:B23,"Open"))</f>
        <v>5</v>
      </c>
      <c r="E6" s="12">
        <f>COUNTIF('🛏 HP Bed Board'!B10:B23,"Reserved")+(COUNTIF('🛏 HPE Bed Board'!B11:B16,"Reserved")+COUNTIF('🛏 HPE Bed Board'!B18:B23,"Reserved"))</f>
        <v>1</v>
      </c>
      <c r="F6" s="9">
        <f ca="1">$C$74</f>
        <v>13</v>
      </c>
      <c r="G6" s="13">
        <f ca="1">$D$74</f>
        <v>1</v>
      </c>
      <c r="H6" s="14">
        <f ca="1">$G$74</f>
        <v>17</v>
      </c>
      <c r="I6" s="15"/>
      <c r="J6" s="15"/>
    </row>
    <row r="7" spans="1:10" ht="15" customHeight="1">
      <c r="A7" s="16"/>
      <c r="B7" s="16"/>
      <c r="C7" s="16"/>
      <c r="D7" s="16"/>
      <c r="E7" s="16"/>
      <c r="F7" s="16"/>
      <c r="G7" s="16"/>
    </row>
    <row r="8" spans="1:10" ht="19.5" customHeight="1">
      <c r="A8" s="293" t="str">
        <f ca="1">" ⚠  DISCHARGE WATCH — Next 7 days    ("&amp;SUM('⚙ Census Engine'!$AB$10:$AB$35)&amp;" discharging)"</f>
        <v xml:space="preserve"> ⚠  DISCHARGE WATCH — Next 7 days    (4 discharging)</v>
      </c>
      <c r="B8" s="293"/>
      <c r="C8" s="293"/>
      <c r="D8" s="293"/>
      <c r="E8" s="293"/>
      <c r="F8" s="293"/>
      <c r="G8" s="293"/>
      <c r="H8" s="293"/>
      <c r="I8" s="293"/>
      <c r="J8" s="293"/>
    </row>
    <row r="9" spans="1:10" ht="21.75" customHeight="1">
      <c r="A9" s="17" t="s">
        <v>10</v>
      </c>
      <c r="B9" s="17" t="s">
        <v>11</v>
      </c>
      <c r="C9" s="17" t="s">
        <v>12</v>
      </c>
      <c r="D9" s="17" t="s">
        <v>13</v>
      </c>
      <c r="E9" s="17" t="s">
        <v>14</v>
      </c>
      <c r="F9" s="17" t="s">
        <v>15</v>
      </c>
      <c r="G9" s="17" t="s">
        <v>16</v>
      </c>
      <c r="H9" s="17" t="s">
        <v>17</v>
      </c>
      <c r="I9" s="17" t="s">
        <v>18</v>
      </c>
      <c r="J9" s="17" t="s">
        <v>19</v>
      </c>
    </row>
    <row r="10" spans="1:10" ht="15.75" customHeight="1">
      <c r="A10" s="18" t="str">
        <f ca="1">IFERROR(INDEX('⚙ Census Engine'!$AD$10:$AD$35,MATCH(ROW()-9,'⚙ Census Engine'!$AC$10:$AC$35,0)),"")</f>
        <v>Rhonda Baim</v>
      </c>
      <c r="B10" s="18" t="str">
        <f ca="1">IFERROR(INDEX('⚙ Census Engine'!$AE$10:$AE$35,MATCH(ROW()-9,'⚙ Census Engine'!$AC$10:$AC$35,0)),"")</f>
        <v>HPE</v>
      </c>
      <c r="C10" s="18" t="str">
        <f ca="1">IFERROR(INDEX('⚙ Census Engine'!$AF$10:$AF$35,MATCH(ROW()-9,'⚙ Census Engine'!$AC$10:$AC$35,0)),"")</f>
        <v>H1-2A</v>
      </c>
      <c r="D10" s="18" t="str">
        <f ca="1">IFERROR(INDEX('⚙ Census Engine'!$AG$10:$AG$35,MATCH(ROW()-9,'⚙ Census Engine'!$AC$10:$AC$35,0)),"")</f>
        <v>5/24</v>
      </c>
      <c r="E10" s="18">
        <f ca="1">IFERROR(INDEX('⚙ Census Engine'!$AH$10:$AH$35,MATCH(ROW()-9,'⚙ Census Engine'!$AC$10:$AC$35,0)),"")</f>
        <v>24</v>
      </c>
      <c r="F10" s="18" t="str">
        <f ca="1">IFERROR(INDEX('⚙ Census Engine'!$AI$10:$AI$35,MATCH(ROW()-9,'⚙ Census Engine'!$AC$10:$AC$35,0)),"")</f>
        <v>6/23</v>
      </c>
      <c r="G10" s="18" t="str">
        <f ca="1">IFERROR(INDEX('⚙ Census Engine'!$AJ$10:$AJ$35,MATCH(ROW()-9,'⚙ Census Engine'!$AC$10:$AC$35,0)),"")</f>
        <v>6d</v>
      </c>
      <c r="H10" s="18" t="str">
        <f ca="1">IFERROR(INDEX('⚙ Census Engine'!$AK$10:$AK$35,MATCH(ROW()-9,'⚙ Census Engine'!$AC$10:$AC$35,0)),"")</f>
        <v>Nelson</v>
      </c>
      <c r="I10" s="18" t="str">
        <f ca="1">IFERROR(INDEX('⚙ Census Engine'!$AL$10:$AL$35,MATCH(ROW()-9,'⚙ Census Engine'!$AC$10:$AC$35,0)),"")</f>
        <v>DTX</v>
      </c>
      <c r="J10" s="18" t="str">
        <f ca="1">IFERROR(INDEX('⚙ Census Engine'!$AM$10:$AM$35,MATCH(ROW()-9,'⚙ Census Engine'!$AC$10:$AC$35,0)),"")</f>
        <v>Anthem BC</v>
      </c>
    </row>
    <row r="11" spans="1:10" ht="15.75" customHeight="1">
      <c r="A11" s="18" t="str">
        <f ca="1">IFERROR(INDEX('⚙ Census Engine'!$AD$10:$AD$35,MATCH(ROW()-9,'⚙ Census Engine'!$AC$10:$AC$35,0)),"")</f>
        <v>Darian Loehner</v>
      </c>
      <c r="B11" s="18" t="str">
        <f ca="1">IFERROR(INDEX('⚙ Census Engine'!$AE$10:$AE$35,MATCH(ROW()-9,'⚙ Census Engine'!$AC$10:$AC$35,0)),"")</f>
        <v>HP</v>
      </c>
      <c r="C11" s="18" t="str">
        <f ca="1">IFERROR(INDEX('⚙ Census Engine'!$AF$10:$AF$35,MATCH(ROW()-9,'⚙ Census Engine'!$AC$10:$AC$35,0)),"")</f>
        <v>M2-B</v>
      </c>
      <c r="D11" s="18" t="str">
        <f ca="1">IFERROR(INDEX('⚙ Census Engine'!$AG$10:$AG$35,MATCH(ROW()-9,'⚙ Census Engine'!$AC$10:$AC$35,0)),"")</f>
        <v>6/10</v>
      </c>
      <c r="E11" s="18">
        <f ca="1">IFERROR(INDEX('⚙ Census Engine'!$AH$10:$AH$35,MATCH(ROW()-9,'⚙ Census Engine'!$AC$10:$AC$35,0)),"")</f>
        <v>7</v>
      </c>
      <c r="F11" s="18" t="str">
        <f ca="1">IFERROR(INDEX('⚙ Census Engine'!$AI$10:$AI$35,MATCH(ROW()-9,'⚙ Census Engine'!$AC$10:$AC$35,0)),"")</f>
        <v>6/20</v>
      </c>
      <c r="G11" s="18" t="str">
        <f ca="1">IFERROR(INDEX('⚙ Census Engine'!$AJ$10:$AJ$35,MATCH(ROW()-9,'⚙ Census Engine'!$AC$10:$AC$35,0)),"")</f>
        <v>3d</v>
      </c>
      <c r="H11" s="18" t="str">
        <f ca="1">IFERROR(INDEX('⚙ Census Engine'!$AK$10:$AK$35,MATCH(ROW()-9,'⚙ Census Engine'!$AC$10:$AC$35,0)),"")</f>
        <v>Amy</v>
      </c>
      <c r="I11" s="18" t="str">
        <f ca="1">IFERROR(INDEX('⚙ Census Engine'!$AL$10:$AL$35,MATCH(ROW()-9,'⚙ Census Engine'!$AC$10:$AC$35,0)),"")</f>
        <v>DTX</v>
      </c>
      <c r="J11" s="18" t="str">
        <f ca="1">IFERROR(INDEX('⚙ Census Engine'!$AM$10:$AM$35,MATCH(ROW()-9,'⚙ Census Engine'!$AC$10:$AC$35,0)),"")</f>
        <v>Aetna</v>
      </c>
    </row>
    <row r="12" spans="1:10" ht="15.75" customHeight="1">
      <c r="A12" s="18" t="str">
        <f ca="1">IFERROR(INDEX('⚙ Census Engine'!$AD$10:$AD$35,MATCH(ROW()-9,'⚙ Census Engine'!$AC$10:$AC$35,0)),"")</f>
        <v>Monica Gamboa</v>
      </c>
      <c r="B12" s="18" t="str">
        <f ca="1">IFERROR(INDEX('⚙ Census Engine'!$AE$10:$AE$35,MATCH(ROW()-9,'⚙ Census Engine'!$AC$10:$AC$35,0)),"")</f>
        <v>HP</v>
      </c>
      <c r="C12" s="18" t="str">
        <f ca="1">IFERROR(INDEX('⚙ Census Engine'!$AF$10:$AF$35,MATCH(ROW()-9,'⚙ Census Engine'!$AC$10:$AC$35,0)),"")</f>
        <v>M3-B</v>
      </c>
      <c r="D12" s="18" t="str">
        <f ca="1">IFERROR(INDEX('⚙ Census Engine'!$AG$10:$AG$35,MATCH(ROW()-9,'⚙ Census Engine'!$AC$10:$AC$35,0)),"")</f>
        <v>6/11</v>
      </c>
      <c r="E12" s="18">
        <f ca="1">IFERROR(INDEX('⚙ Census Engine'!$AH$10:$AH$35,MATCH(ROW()-9,'⚙ Census Engine'!$AC$10:$AC$35,0)),"")</f>
        <v>6</v>
      </c>
      <c r="F12" s="18" t="str">
        <f ca="1">IFERROR(INDEX('⚙ Census Engine'!$AI$10:$AI$35,MATCH(ROW()-9,'⚙ Census Engine'!$AC$10:$AC$35,0)),"")</f>
        <v>6/21</v>
      </c>
      <c r="G12" s="18" t="str">
        <f ca="1">IFERROR(INDEX('⚙ Census Engine'!$AJ$10:$AJ$35,MATCH(ROW()-9,'⚙ Census Engine'!$AC$10:$AC$35,0)),"")</f>
        <v>4d</v>
      </c>
      <c r="H12" s="18" t="str">
        <f ca="1">IFERROR(INDEX('⚙ Census Engine'!$AK$10:$AK$35,MATCH(ROW()-9,'⚙ Census Engine'!$AC$10:$AC$35,0)),"")</f>
        <v>Amy</v>
      </c>
      <c r="I12" s="18" t="str">
        <f ca="1">IFERROR(INDEX('⚙ Census Engine'!$AL$10:$AL$35,MATCH(ROW()-9,'⚙ Census Engine'!$AC$10:$AC$35,0)),"")</f>
        <v>DTX/RTC</v>
      </c>
      <c r="J12" s="18" t="str">
        <f ca="1">IFERROR(INDEX('⚙ Census Engine'!$AM$10:$AM$35,MATCH(ROW()-9,'⚙ Census Engine'!$AC$10:$AC$35,0)),"")</f>
        <v>Molina CA</v>
      </c>
    </row>
    <row r="13" spans="1:10" ht="15.75" customHeight="1">
      <c r="A13" s="18" t="str">
        <f ca="1">IFERROR(INDEX('⚙ Census Engine'!$AD$10:$AD$35,MATCH(ROW()-9,'⚙ Census Engine'!$AC$10:$AC$35,0)),"")</f>
        <v>Allisa Leuvrey</v>
      </c>
      <c r="B13" s="18" t="str">
        <f ca="1">IFERROR(INDEX('⚙ Census Engine'!$AE$10:$AE$35,MATCH(ROW()-9,'⚙ Census Engine'!$AC$10:$AC$35,0)),"")</f>
        <v>HPE</v>
      </c>
      <c r="C13" s="18" t="str">
        <f ca="1">IFERROR(INDEX('⚙ Census Engine'!$AF$10:$AF$35,MATCH(ROW()-9,'⚙ Census Engine'!$AC$10:$AC$35,0)),"")</f>
        <v>H1-1A</v>
      </c>
      <c r="D13" s="18" t="str">
        <f ca="1">IFERROR(INDEX('⚙ Census Engine'!$AG$10:$AG$35,MATCH(ROW()-9,'⚙ Census Engine'!$AC$10:$AC$35,0)),"")</f>
        <v>6/12</v>
      </c>
      <c r="E13" s="18">
        <f ca="1">IFERROR(INDEX('⚙ Census Engine'!$AH$10:$AH$35,MATCH(ROW()-9,'⚙ Census Engine'!$AC$10:$AC$35,0)),"")</f>
        <v>5</v>
      </c>
      <c r="F13" s="18" t="str">
        <f ca="1">IFERROR(INDEX('⚙ Census Engine'!$AI$10:$AI$35,MATCH(ROW()-9,'⚙ Census Engine'!$AC$10:$AC$35,0)),"")</f>
        <v>6/19</v>
      </c>
      <c r="G13" s="18" t="str">
        <f ca="1">IFERROR(INDEX('⚙ Census Engine'!$AJ$10:$AJ$35,MATCH(ROW()-9,'⚙ Census Engine'!$AC$10:$AC$35,0)),"")</f>
        <v>2d</v>
      </c>
      <c r="H13" s="18" t="str">
        <f ca="1">IFERROR(INDEX('⚙ Census Engine'!$AK$10:$AK$35,MATCH(ROW()-9,'⚙ Census Engine'!$AC$10:$AC$35,0)),"")</f>
        <v>Amy</v>
      </c>
      <c r="I13" s="18" t="str">
        <f ca="1">IFERROR(INDEX('⚙ Census Engine'!$AL$10:$AL$35,MATCH(ROW()-9,'⚙ Census Engine'!$AC$10:$AC$35,0)),"")</f>
        <v>DTX</v>
      </c>
      <c r="J13" s="18" t="str">
        <f ca="1">IFERROR(INDEX('⚙ Census Engine'!$AM$10:$AM$35,MATCH(ROW()-9,'⚙ Census Engine'!$AC$10:$AC$35,0)),"")</f>
        <v>Blue Shield CA</v>
      </c>
    </row>
    <row r="14" spans="1:10" ht="15.75" customHeight="1">
      <c r="A14" s="18" t="str">
        <f ca="1">IFERROR(INDEX('⚙ Census Engine'!$AD$10:$AD$35,MATCH(ROW()-9,'⚙ Census Engine'!$AC$10:$AC$35,0)),"")</f>
        <v/>
      </c>
      <c r="B14" s="18" t="str">
        <f ca="1">IFERROR(INDEX('⚙ Census Engine'!$AE$10:$AE$35,MATCH(ROW()-9,'⚙ Census Engine'!$AC$10:$AC$35,0)),"")</f>
        <v/>
      </c>
      <c r="C14" s="18" t="str">
        <f ca="1">IFERROR(INDEX('⚙ Census Engine'!$AF$10:$AF$35,MATCH(ROW()-9,'⚙ Census Engine'!$AC$10:$AC$35,0)),"")</f>
        <v/>
      </c>
      <c r="D14" s="18" t="str">
        <f ca="1">IFERROR(INDEX('⚙ Census Engine'!$AG$10:$AG$35,MATCH(ROW()-9,'⚙ Census Engine'!$AC$10:$AC$35,0)),"")</f>
        <v/>
      </c>
      <c r="E14" s="18" t="str">
        <f ca="1">IFERROR(INDEX('⚙ Census Engine'!$AH$10:$AH$35,MATCH(ROW()-9,'⚙ Census Engine'!$AC$10:$AC$35,0)),"")</f>
        <v/>
      </c>
      <c r="F14" s="18" t="str">
        <f ca="1">IFERROR(INDEX('⚙ Census Engine'!$AI$10:$AI$35,MATCH(ROW()-9,'⚙ Census Engine'!$AC$10:$AC$35,0)),"")</f>
        <v/>
      </c>
      <c r="G14" s="18" t="str">
        <f ca="1">IFERROR(INDEX('⚙ Census Engine'!$AJ$10:$AJ$35,MATCH(ROW()-9,'⚙ Census Engine'!$AC$10:$AC$35,0)),"")</f>
        <v/>
      </c>
      <c r="H14" s="18" t="str">
        <f ca="1">IFERROR(INDEX('⚙ Census Engine'!$AK$10:$AK$35,MATCH(ROW()-9,'⚙ Census Engine'!$AC$10:$AC$35,0)),"")</f>
        <v/>
      </c>
      <c r="I14" s="18" t="str">
        <f ca="1">IFERROR(INDEX('⚙ Census Engine'!$AL$10:$AL$35,MATCH(ROW()-9,'⚙ Census Engine'!$AC$10:$AC$35,0)),"")</f>
        <v/>
      </c>
      <c r="J14" s="18" t="str">
        <f ca="1">IFERROR(INDEX('⚙ Census Engine'!$AM$10:$AM$35,MATCH(ROW()-9,'⚙ Census Engine'!$AC$10:$AC$35,0)),"")</f>
        <v/>
      </c>
    </row>
    <row r="15" spans="1:10" ht="15.75" customHeight="1">
      <c r="A15" s="18" t="str">
        <f ca="1">IFERROR(INDEX('⚙ Census Engine'!$AD$10:$AD$35,MATCH(ROW()-9,'⚙ Census Engine'!$AC$10:$AC$35,0)),"")</f>
        <v/>
      </c>
      <c r="B15" s="18" t="str">
        <f ca="1">IFERROR(INDEX('⚙ Census Engine'!$AE$10:$AE$35,MATCH(ROW()-9,'⚙ Census Engine'!$AC$10:$AC$35,0)),"")</f>
        <v/>
      </c>
      <c r="C15" s="18" t="str">
        <f ca="1">IFERROR(INDEX('⚙ Census Engine'!$AF$10:$AF$35,MATCH(ROW()-9,'⚙ Census Engine'!$AC$10:$AC$35,0)),"")</f>
        <v/>
      </c>
      <c r="D15" s="18" t="str">
        <f ca="1">IFERROR(INDEX('⚙ Census Engine'!$AG$10:$AG$35,MATCH(ROW()-9,'⚙ Census Engine'!$AC$10:$AC$35,0)),"")</f>
        <v/>
      </c>
      <c r="E15" s="18" t="str">
        <f ca="1">IFERROR(INDEX('⚙ Census Engine'!$AH$10:$AH$35,MATCH(ROW()-9,'⚙ Census Engine'!$AC$10:$AC$35,0)),"")</f>
        <v/>
      </c>
      <c r="F15" s="18" t="str">
        <f ca="1">IFERROR(INDEX('⚙ Census Engine'!$AI$10:$AI$35,MATCH(ROW()-9,'⚙ Census Engine'!$AC$10:$AC$35,0)),"")</f>
        <v/>
      </c>
      <c r="G15" s="18" t="str">
        <f ca="1">IFERROR(INDEX('⚙ Census Engine'!$AJ$10:$AJ$35,MATCH(ROW()-9,'⚙ Census Engine'!$AC$10:$AC$35,0)),"")</f>
        <v/>
      </c>
      <c r="H15" s="18" t="str">
        <f ca="1">IFERROR(INDEX('⚙ Census Engine'!$AK$10:$AK$35,MATCH(ROW()-9,'⚙ Census Engine'!$AC$10:$AC$35,0)),"")</f>
        <v/>
      </c>
      <c r="I15" s="18" t="str">
        <f ca="1">IFERROR(INDEX('⚙ Census Engine'!$AL$10:$AL$35,MATCH(ROW()-9,'⚙ Census Engine'!$AC$10:$AC$35,0)),"")</f>
        <v/>
      </c>
      <c r="J15" s="18" t="str">
        <f ca="1">IFERROR(INDEX('⚙ Census Engine'!$AM$10:$AM$35,MATCH(ROW()-9,'⚙ Census Engine'!$AC$10:$AC$35,0)),"")</f>
        <v/>
      </c>
    </row>
    <row r="16" spans="1:10" ht="15.75" customHeight="1">
      <c r="A16" s="18" t="str">
        <f ca="1">IFERROR(INDEX('⚙ Census Engine'!$AD$10:$AD$35,MATCH(ROW()-9,'⚙ Census Engine'!$AC$10:$AC$35,0)),"")</f>
        <v/>
      </c>
      <c r="B16" s="18" t="str">
        <f ca="1">IFERROR(INDEX('⚙ Census Engine'!$AE$10:$AE$35,MATCH(ROW()-9,'⚙ Census Engine'!$AC$10:$AC$35,0)),"")</f>
        <v/>
      </c>
      <c r="C16" s="18" t="str">
        <f ca="1">IFERROR(INDEX('⚙ Census Engine'!$AF$10:$AF$35,MATCH(ROW()-9,'⚙ Census Engine'!$AC$10:$AC$35,0)),"")</f>
        <v/>
      </c>
      <c r="D16" s="18" t="str">
        <f ca="1">IFERROR(INDEX('⚙ Census Engine'!$AG$10:$AG$35,MATCH(ROW()-9,'⚙ Census Engine'!$AC$10:$AC$35,0)),"")</f>
        <v/>
      </c>
      <c r="E16" s="18" t="str">
        <f ca="1">IFERROR(INDEX('⚙ Census Engine'!$AH$10:$AH$35,MATCH(ROW()-9,'⚙ Census Engine'!$AC$10:$AC$35,0)),"")</f>
        <v/>
      </c>
      <c r="F16" s="18" t="str">
        <f ca="1">IFERROR(INDEX('⚙ Census Engine'!$AI$10:$AI$35,MATCH(ROW()-9,'⚙ Census Engine'!$AC$10:$AC$35,0)),"")</f>
        <v/>
      </c>
      <c r="G16" s="18" t="str">
        <f ca="1">IFERROR(INDEX('⚙ Census Engine'!$AJ$10:$AJ$35,MATCH(ROW()-9,'⚙ Census Engine'!$AC$10:$AC$35,0)),"")</f>
        <v/>
      </c>
      <c r="H16" s="18" t="str">
        <f ca="1">IFERROR(INDEX('⚙ Census Engine'!$AK$10:$AK$35,MATCH(ROW()-9,'⚙ Census Engine'!$AC$10:$AC$35,0)),"")</f>
        <v/>
      </c>
      <c r="I16" s="18" t="str">
        <f ca="1">IFERROR(INDEX('⚙ Census Engine'!$AL$10:$AL$35,MATCH(ROW()-9,'⚙ Census Engine'!$AC$10:$AC$35,0)),"")</f>
        <v/>
      </c>
      <c r="J16" s="18" t="str">
        <f ca="1">IFERROR(INDEX('⚙ Census Engine'!$AM$10:$AM$35,MATCH(ROW()-9,'⚙ Census Engine'!$AC$10:$AC$35,0)),"")</f>
        <v/>
      </c>
    </row>
    <row r="17" spans="1:10" ht="15.75" customHeight="1">
      <c r="A17" s="18" t="str">
        <f ca="1">IFERROR(INDEX('⚙ Census Engine'!$AD$10:$AD$35,MATCH(ROW()-9,'⚙ Census Engine'!$AC$10:$AC$35,0)),"")</f>
        <v/>
      </c>
      <c r="B17" s="18" t="str">
        <f ca="1">IFERROR(INDEX('⚙ Census Engine'!$AE$10:$AE$35,MATCH(ROW()-9,'⚙ Census Engine'!$AC$10:$AC$35,0)),"")</f>
        <v/>
      </c>
      <c r="C17" s="18" t="str">
        <f ca="1">IFERROR(INDEX('⚙ Census Engine'!$AF$10:$AF$35,MATCH(ROW()-9,'⚙ Census Engine'!$AC$10:$AC$35,0)),"")</f>
        <v/>
      </c>
      <c r="D17" s="18" t="str">
        <f ca="1">IFERROR(INDEX('⚙ Census Engine'!$AG$10:$AG$35,MATCH(ROW()-9,'⚙ Census Engine'!$AC$10:$AC$35,0)),"")</f>
        <v/>
      </c>
      <c r="E17" s="18" t="str">
        <f ca="1">IFERROR(INDEX('⚙ Census Engine'!$AH$10:$AH$35,MATCH(ROW()-9,'⚙ Census Engine'!$AC$10:$AC$35,0)),"")</f>
        <v/>
      </c>
      <c r="F17" s="18" t="str">
        <f ca="1">IFERROR(INDEX('⚙ Census Engine'!$AI$10:$AI$35,MATCH(ROW()-9,'⚙ Census Engine'!$AC$10:$AC$35,0)),"")</f>
        <v/>
      </c>
      <c r="G17" s="18" t="str">
        <f ca="1">IFERROR(INDEX('⚙ Census Engine'!$AJ$10:$AJ$35,MATCH(ROW()-9,'⚙ Census Engine'!$AC$10:$AC$35,0)),"")</f>
        <v/>
      </c>
      <c r="H17" s="18" t="str">
        <f ca="1">IFERROR(INDEX('⚙ Census Engine'!$AK$10:$AK$35,MATCH(ROW()-9,'⚙ Census Engine'!$AC$10:$AC$35,0)),"")</f>
        <v/>
      </c>
      <c r="I17" s="18" t="str">
        <f ca="1">IFERROR(INDEX('⚙ Census Engine'!$AL$10:$AL$35,MATCH(ROW()-9,'⚙ Census Engine'!$AC$10:$AC$35,0)),"")</f>
        <v/>
      </c>
      <c r="J17" s="18" t="str">
        <f ca="1">IFERROR(INDEX('⚙ Census Engine'!$AM$10:$AM$35,MATCH(ROW()-9,'⚙ Census Engine'!$AC$10:$AC$35,0)),"")</f>
        <v/>
      </c>
    </row>
    <row r="18" spans="1:10" ht="15.75" customHeight="1">
      <c r="A18" s="18" t="str">
        <f ca="1">IFERROR(INDEX('⚙ Census Engine'!$AD$10:$AD$35,MATCH(ROW()-9,'⚙ Census Engine'!$AC$10:$AC$35,0)),"")</f>
        <v/>
      </c>
      <c r="B18" s="18" t="str">
        <f ca="1">IFERROR(INDEX('⚙ Census Engine'!$AE$10:$AE$35,MATCH(ROW()-9,'⚙ Census Engine'!$AC$10:$AC$35,0)),"")</f>
        <v/>
      </c>
      <c r="C18" s="18" t="str">
        <f ca="1">IFERROR(INDEX('⚙ Census Engine'!$AF$10:$AF$35,MATCH(ROW()-9,'⚙ Census Engine'!$AC$10:$AC$35,0)),"")</f>
        <v/>
      </c>
      <c r="D18" s="18" t="str">
        <f ca="1">IFERROR(INDEX('⚙ Census Engine'!$AG$10:$AG$35,MATCH(ROW()-9,'⚙ Census Engine'!$AC$10:$AC$35,0)),"")</f>
        <v/>
      </c>
      <c r="E18" s="18" t="str">
        <f ca="1">IFERROR(INDEX('⚙ Census Engine'!$AH$10:$AH$35,MATCH(ROW()-9,'⚙ Census Engine'!$AC$10:$AC$35,0)),"")</f>
        <v/>
      </c>
      <c r="F18" s="18" t="str">
        <f ca="1">IFERROR(INDEX('⚙ Census Engine'!$AI$10:$AI$35,MATCH(ROW()-9,'⚙ Census Engine'!$AC$10:$AC$35,0)),"")</f>
        <v/>
      </c>
      <c r="G18" s="18" t="str">
        <f ca="1">IFERROR(INDEX('⚙ Census Engine'!$AJ$10:$AJ$35,MATCH(ROW()-9,'⚙ Census Engine'!$AC$10:$AC$35,0)),"")</f>
        <v/>
      </c>
      <c r="H18" s="18" t="str">
        <f ca="1">IFERROR(INDEX('⚙ Census Engine'!$AK$10:$AK$35,MATCH(ROW()-9,'⚙ Census Engine'!$AC$10:$AC$35,0)),"")</f>
        <v/>
      </c>
      <c r="I18" s="18" t="str">
        <f ca="1">IFERROR(INDEX('⚙ Census Engine'!$AL$10:$AL$35,MATCH(ROW()-9,'⚙ Census Engine'!$AC$10:$AC$35,0)),"")</f>
        <v/>
      </c>
      <c r="J18" s="18" t="str">
        <f ca="1">IFERROR(INDEX('⚙ Census Engine'!$AM$10:$AM$35,MATCH(ROW()-9,'⚙ Census Engine'!$AC$10:$AC$35,0)),"")</f>
        <v/>
      </c>
    </row>
    <row r="19" spans="1:10" ht="15.75" customHeight="1">
      <c r="A19" s="18" t="str">
        <f ca="1">IFERROR(INDEX('⚙ Census Engine'!$AD$10:$AD$35,MATCH(ROW()-9,'⚙ Census Engine'!$AC$10:$AC$35,0)),"")</f>
        <v/>
      </c>
      <c r="B19" s="18" t="str">
        <f ca="1">IFERROR(INDEX('⚙ Census Engine'!$AE$10:$AE$35,MATCH(ROW()-9,'⚙ Census Engine'!$AC$10:$AC$35,0)),"")</f>
        <v/>
      </c>
      <c r="C19" s="18" t="str">
        <f ca="1">IFERROR(INDEX('⚙ Census Engine'!$AF$10:$AF$35,MATCH(ROW()-9,'⚙ Census Engine'!$AC$10:$AC$35,0)),"")</f>
        <v/>
      </c>
      <c r="D19" s="18" t="str">
        <f ca="1">IFERROR(INDEX('⚙ Census Engine'!$AG$10:$AG$35,MATCH(ROW()-9,'⚙ Census Engine'!$AC$10:$AC$35,0)),"")</f>
        <v/>
      </c>
      <c r="E19" s="18" t="str">
        <f ca="1">IFERROR(INDEX('⚙ Census Engine'!$AH$10:$AH$35,MATCH(ROW()-9,'⚙ Census Engine'!$AC$10:$AC$35,0)),"")</f>
        <v/>
      </c>
      <c r="F19" s="18" t="str">
        <f ca="1">IFERROR(INDEX('⚙ Census Engine'!$AI$10:$AI$35,MATCH(ROW()-9,'⚙ Census Engine'!$AC$10:$AC$35,0)),"")</f>
        <v/>
      </c>
      <c r="G19" s="18" t="str">
        <f ca="1">IFERROR(INDEX('⚙ Census Engine'!$AJ$10:$AJ$35,MATCH(ROW()-9,'⚙ Census Engine'!$AC$10:$AC$35,0)),"")</f>
        <v/>
      </c>
      <c r="H19" s="18" t="str">
        <f ca="1">IFERROR(INDEX('⚙ Census Engine'!$AK$10:$AK$35,MATCH(ROW()-9,'⚙ Census Engine'!$AC$10:$AC$35,0)),"")</f>
        <v/>
      </c>
      <c r="I19" s="18" t="str">
        <f ca="1">IFERROR(INDEX('⚙ Census Engine'!$AL$10:$AL$35,MATCH(ROW()-9,'⚙ Census Engine'!$AC$10:$AC$35,0)),"")</f>
        <v/>
      </c>
      <c r="J19" s="18" t="str">
        <f ca="1">IFERROR(INDEX('⚙ Census Engine'!$AM$10:$AM$35,MATCH(ROW()-9,'⚙ Census Engine'!$AC$10:$AC$35,0)),"")</f>
        <v/>
      </c>
    </row>
    <row r="20" spans="1:10" ht="15.75" customHeight="1">
      <c r="A20" s="18" t="str">
        <f ca="1">IFERROR(INDEX('⚙ Census Engine'!$AD$10:$AD$35,MATCH(ROW()-9,'⚙ Census Engine'!$AC$10:$AC$35,0)),"")</f>
        <v/>
      </c>
      <c r="B20" s="18" t="str">
        <f ca="1">IFERROR(INDEX('⚙ Census Engine'!$AE$10:$AE$35,MATCH(ROW()-9,'⚙ Census Engine'!$AC$10:$AC$35,0)),"")</f>
        <v/>
      </c>
      <c r="C20" s="18" t="str">
        <f ca="1">IFERROR(INDEX('⚙ Census Engine'!$AF$10:$AF$35,MATCH(ROW()-9,'⚙ Census Engine'!$AC$10:$AC$35,0)),"")</f>
        <v/>
      </c>
      <c r="D20" s="18" t="str">
        <f ca="1">IFERROR(INDEX('⚙ Census Engine'!$AG$10:$AG$35,MATCH(ROW()-9,'⚙ Census Engine'!$AC$10:$AC$35,0)),"")</f>
        <v/>
      </c>
      <c r="E20" s="18" t="str">
        <f ca="1">IFERROR(INDEX('⚙ Census Engine'!$AH$10:$AH$35,MATCH(ROW()-9,'⚙ Census Engine'!$AC$10:$AC$35,0)),"")</f>
        <v/>
      </c>
      <c r="F20" s="18" t="str">
        <f ca="1">IFERROR(INDEX('⚙ Census Engine'!$AI$10:$AI$35,MATCH(ROW()-9,'⚙ Census Engine'!$AC$10:$AC$35,0)),"")</f>
        <v/>
      </c>
      <c r="G20" s="18" t="str">
        <f ca="1">IFERROR(INDEX('⚙ Census Engine'!$AJ$10:$AJ$35,MATCH(ROW()-9,'⚙ Census Engine'!$AC$10:$AC$35,0)),"")</f>
        <v/>
      </c>
      <c r="H20" s="18" t="str">
        <f ca="1">IFERROR(INDEX('⚙ Census Engine'!$AK$10:$AK$35,MATCH(ROW()-9,'⚙ Census Engine'!$AC$10:$AC$35,0)),"")</f>
        <v/>
      </c>
      <c r="I20" s="18" t="str">
        <f ca="1">IFERROR(INDEX('⚙ Census Engine'!$AL$10:$AL$35,MATCH(ROW()-9,'⚙ Census Engine'!$AC$10:$AC$35,0)),"")</f>
        <v/>
      </c>
      <c r="J20" s="18" t="str">
        <f ca="1">IFERROR(INDEX('⚙ Census Engine'!$AM$10:$AM$35,MATCH(ROW()-9,'⚙ Census Engine'!$AC$10:$AC$35,0)),"")</f>
        <v/>
      </c>
    </row>
    <row r="21" spans="1:10" ht="15.75" customHeight="1">
      <c r="A21" s="18" t="str">
        <f ca="1">IFERROR(INDEX('⚙ Census Engine'!$AD$10:$AD$35,MATCH(ROW()-9,'⚙ Census Engine'!$AC$10:$AC$35,0)),"")</f>
        <v/>
      </c>
      <c r="B21" s="18" t="str">
        <f ca="1">IFERROR(INDEX('⚙ Census Engine'!$AE$10:$AE$35,MATCH(ROW()-9,'⚙ Census Engine'!$AC$10:$AC$35,0)),"")</f>
        <v/>
      </c>
      <c r="C21" s="18" t="str">
        <f ca="1">IFERROR(INDEX('⚙ Census Engine'!$AF$10:$AF$35,MATCH(ROW()-9,'⚙ Census Engine'!$AC$10:$AC$35,0)),"")</f>
        <v/>
      </c>
      <c r="D21" s="18" t="str">
        <f ca="1">IFERROR(INDEX('⚙ Census Engine'!$AG$10:$AG$35,MATCH(ROW()-9,'⚙ Census Engine'!$AC$10:$AC$35,0)),"")</f>
        <v/>
      </c>
      <c r="E21" s="18" t="str">
        <f ca="1">IFERROR(INDEX('⚙ Census Engine'!$AH$10:$AH$35,MATCH(ROW()-9,'⚙ Census Engine'!$AC$10:$AC$35,0)),"")</f>
        <v/>
      </c>
      <c r="F21" s="18" t="str">
        <f ca="1">IFERROR(INDEX('⚙ Census Engine'!$AI$10:$AI$35,MATCH(ROW()-9,'⚙ Census Engine'!$AC$10:$AC$35,0)),"")</f>
        <v/>
      </c>
      <c r="G21" s="18" t="str">
        <f ca="1">IFERROR(INDEX('⚙ Census Engine'!$AJ$10:$AJ$35,MATCH(ROW()-9,'⚙ Census Engine'!$AC$10:$AC$35,0)),"")</f>
        <v/>
      </c>
      <c r="H21" s="18" t="str">
        <f ca="1">IFERROR(INDEX('⚙ Census Engine'!$AK$10:$AK$35,MATCH(ROW()-9,'⚙ Census Engine'!$AC$10:$AC$35,0)),"")</f>
        <v/>
      </c>
      <c r="I21" s="18" t="str">
        <f ca="1">IFERROR(INDEX('⚙ Census Engine'!$AL$10:$AL$35,MATCH(ROW()-9,'⚙ Census Engine'!$AC$10:$AC$35,0)),"")</f>
        <v/>
      </c>
      <c r="J21" s="18" t="str">
        <f ca="1">IFERROR(INDEX('⚙ Census Engine'!$AM$10:$AM$35,MATCH(ROW()-9,'⚙ Census Engine'!$AC$10:$AC$35,0)),"")</f>
        <v/>
      </c>
    </row>
    <row r="22" spans="1:10" ht="15" customHeight="1">
      <c r="A22" s="19"/>
      <c r="B22" s="19"/>
      <c r="C22" s="19"/>
      <c r="D22" s="19"/>
      <c r="E22" s="19"/>
      <c r="F22" s="19"/>
      <c r="G22" s="19"/>
      <c r="H22" s="19"/>
      <c r="I22" s="19"/>
      <c r="J22" s="19"/>
    </row>
    <row r="23" spans="1:10" ht="19.5" customHeight="1">
      <c r="A23" s="293" t="s">
        <v>20</v>
      </c>
      <c r="B23" s="293"/>
      <c r="C23" s="293"/>
      <c r="D23" s="293"/>
      <c r="E23" s="293"/>
      <c r="F23" s="293"/>
      <c r="G23" s="293"/>
      <c r="H23" s="293"/>
      <c r="I23" s="293"/>
      <c r="J23" s="293"/>
    </row>
    <row r="24" spans="1:10" ht="21.75" customHeight="1">
      <c r="A24" s="17" t="s">
        <v>10</v>
      </c>
      <c r="B24" s="17" t="s">
        <v>17</v>
      </c>
      <c r="C24" s="17" t="s">
        <v>11</v>
      </c>
      <c r="D24" s="17" t="s">
        <v>18</v>
      </c>
      <c r="E24" s="17" t="s">
        <v>21</v>
      </c>
      <c r="F24" s="17" t="s">
        <v>22</v>
      </c>
      <c r="G24" s="17" t="s">
        <v>23</v>
      </c>
      <c r="H24" s="20"/>
      <c r="I24" s="20"/>
      <c r="J24" s="20"/>
    </row>
    <row r="25" spans="1:10" ht="15.75" customHeight="1">
      <c r="A25" s="18" t="str">
        <f>IFERROR(INDEX('🔥 Pipeline'!$C:$C,MATCH(ROW()-24,'⚙ Pipeline Engine'!$AB:$AB,0)),"")</f>
        <v>Tara Shinde</v>
      </c>
      <c r="B25" s="18" t="str">
        <f>IFERROR(INDEX('🔥 Pipeline'!$B:$B,MATCH(ROW()-24,'⚙ Pipeline Engine'!$AB:$AB,0)),"")</f>
        <v>Amy</v>
      </c>
      <c r="C25" s="18" t="str">
        <f>IFERROR(INDEX('🔥 Pipeline'!$F:$F,MATCH(ROW()-24,'⚙ Pipeline Engine'!$AB:$AB,0)),"")</f>
        <v>HPE</v>
      </c>
      <c r="D25" s="18" t="str">
        <f>IFERROR(INDEX('🔥 Pipeline'!$E:$E,MATCH(ROW()-24,'⚙ Pipeline Engine'!$AB:$AB,0)),"")</f>
        <v>DTX/RTC</v>
      </c>
      <c r="E25" s="18" t="str">
        <f>IFERROR(INDEX('🔥 Pipeline'!$I:$I,MATCH(ROW()-24,'⚙ Pipeline Engine'!$AB:$AB,0)),"")</f>
        <v>BCBS IL</v>
      </c>
      <c r="F25" s="21">
        <f>IFERROR(INDEX('🔥 Pipeline'!$H:$H,MATCH(ROW()-24,'⚙ Pipeline Engine'!$AB:$AB,0)),"")</f>
        <v>46192</v>
      </c>
      <c r="G25" s="18" t="str">
        <f>IFERROR(INDEX('🔥 Pipeline'!$G:$G,MATCH(ROW()-24,'⚙ Pipeline Engine'!$AB:$AB,0)),"")</f>
        <v>✓</v>
      </c>
      <c r="H25" s="19"/>
      <c r="I25" s="19"/>
      <c r="J25" s="19"/>
    </row>
    <row r="26" spans="1:10" ht="15.75" customHeight="1">
      <c r="A26" s="18" t="str">
        <f>IFERROR(INDEX('🔥 Pipeline'!$C:$C,MATCH(ROW()-24,'⚙ Pipeline Engine'!$AB:$AB,0)),"")</f>
        <v/>
      </c>
      <c r="B26" s="18" t="str">
        <f>IFERROR(INDEX('🔥 Pipeline'!$B:$B,MATCH(ROW()-24,'⚙ Pipeline Engine'!$AB:$AB,0)),"")</f>
        <v/>
      </c>
      <c r="C26" s="18" t="str">
        <f>IFERROR(INDEX('🔥 Pipeline'!$F:$F,MATCH(ROW()-24,'⚙ Pipeline Engine'!$AB:$AB,0)),"")</f>
        <v/>
      </c>
      <c r="D26" s="18" t="str">
        <f>IFERROR(INDEX('🔥 Pipeline'!$E:$E,MATCH(ROW()-24,'⚙ Pipeline Engine'!$AB:$AB,0)),"")</f>
        <v/>
      </c>
      <c r="E26" s="18" t="str">
        <f>IFERROR(INDEX('🔥 Pipeline'!$I:$I,MATCH(ROW()-24,'⚙ Pipeline Engine'!$AB:$AB,0)),"")</f>
        <v/>
      </c>
      <c r="F26" s="18" t="str">
        <f>IFERROR(INDEX('🔥 Pipeline'!$H:$H,MATCH(ROW()-24,'⚙ Pipeline Engine'!$AB:$AB,0)),"")</f>
        <v/>
      </c>
      <c r="G26" s="18" t="str">
        <f>IFERROR(INDEX('🔥 Pipeline'!$G:$G,MATCH(ROW()-24,'⚙ Pipeline Engine'!$AB:$AB,0)),"")</f>
        <v/>
      </c>
      <c r="H26" s="19"/>
      <c r="I26" s="19"/>
      <c r="J26" s="19"/>
    </row>
    <row r="27" spans="1:10" ht="15.75" customHeight="1">
      <c r="A27" s="18" t="str">
        <f>IFERROR(INDEX('🔥 Pipeline'!$C:$C,MATCH(ROW()-24,'⚙ Pipeline Engine'!$AB:$AB,0)),"")</f>
        <v/>
      </c>
      <c r="B27" s="18" t="str">
        <f>IFERROR(INDEX('🔥 Pipeline'!$B:$B,MATCH(ROW()-24,'⚙ Pipeline Engine'!$AB:$AB,0)),"")</f>
        <v/>
      </c>
      <c r="C27" s="18" t="str">
        <f>IFERROR(INDEX('🔥 Pipeline'!$F:$F,MATCH(ROW()-24,'⚙ Pipeline Engine'!$AB:$AB,0)),"")</f>
        <v/>
      </c>
      <c r="D27" s="18" t="str">
        <f>IFERROR(INDEX('🔥 Pipeline'!$E:$E,MATCH(ROW()-24,'⚙ Pipeline Engine'!$AB:$AB,0)),"")</f>
        <v/>
      </c>
      <c r="E27" s="18" t="str">
        <f>IFERROR(INDEX('🔥 Pipeline'!$I:$I,MATCH(ROW()-24,'⚙ Pipeline Engine'!$AB:$AB,0)),"")</f>
        <v/>
      </c>
      <c r="F27" s="18" t="str">
        <f>IFERROR(INDEX('🔥 Pipeline'!$H:$H,MATCH(ROW()-24,'⚙ Pipeline Engine'!$AB:$AB,0)),"")</f>
        <v/>
      </c>
      <c r="G27" s="18" t="str">
        <f>IFERROR(INDEX('🔥 Pipeline'!$G:$G,MATCH(ROW()-24,'⚙ Pipeline Engine'!$AB:$AB,0)),"")</f>
        <v/>
      </c>
      <c r="H27" s="19"/>
      <c r="I27" s="19"/>
      <c r="J27" s="19"/>
    </row>
    <row r="28" spans="1:10" ht="15.75" customHeight="1">
      <c r="A28" s="18" t="str">
        <f>IFERROR(INDEX('🔥 Pipeline'!$C:$C,MATCH(ROW()-24,'⚙ Pipeline Engine'!$AB:$AB,0)),"")</f>
        <v/>
      </c>
      <c r="B28" s="18" t="str">
        <f>IFERROR(INDEX('🔥 Pipeline'!$B:$B,MATCH(ROW()-24,'⚙ Pipeline Engine'!$AB:$AB,0)),"")</f>
        <v/>
      </c>
      <c r="C28" s="18" t="str">
        <f>IFERROR(INDEX('🔥 Pipeline'!$F:$F,MATCH(ROW()-24,'⚙ Pipeline Engine'!$AB:$AB,0)),"")</f>
        <v/>
      </c>
      <c r="D28" s="18" t="str">
        <f>IFERROR(INDEX('🔥 Pipeline'!$E:$E,MATCH(ROW()-24,'⚙ Pipeline Engine'!$AB:$AB,0)),"")</f>
        <v/>
      </c>
      <c r="E28" s="18" t="str">
        <f>IFERROR(INDEX('🔥 Pipeline'!$I:$I,MATCH(ROW()-24,'⚙ Pipeline Engine'!$AB:$AB,0)),"")</f>
        <v/>
      </c>
      <c r="F28" s="18" t="str">
        <f>IFERROR(INDEX('🔥 Pipeline'!$H:$H,MATCH(ROW()-24,'⚙ Pipeline Engine'!$AB:$AB,0)),"")</f>
        <v/>
      </c>
      <c r="G28" s="18" t="str">
        <f>IFERROR(INDEX('🔥 Pipeline'!$G:$G,MATCH(ROW()-24,'⚙ Pipeline Engine'!$AB:$AB,0)),"")</f>
        <v/>
      </c>
      <c r="H28" s="19"/>
      <c r="I28" s="19"/>
      <c r="J28" s="19"/>
    </row>
    <row r="29" spans="1:10" ht="15.75" customHeight="1">
      <c r="A29" s="18" t="str">
        <f>IFERROR(INDEX('🔥 Pipeline'!$C:$C,MATCH(ROW()-24,'⚙ Pipeline Engine'!$AB:$AB,0)),"")</f>
        <v/>
      </c>
      <c r="B29" s="18" t="str">
        <f>IFERROR(INDEX('🔥 Pipeline'!$B:$B,MATCH(ROW()-24,'⚙ Pipeline Engine'!$AB:$AB,0)),"")</f>
        <v/>
      </c>
      <c r="C29" s="18" t="str">
        <f>IFERROR(INDEX('🔥 Pipeline'!$F:$F,MATCH(ROW()-24,'⚙ Pipeline Engine'!$AB:$AB,0)),"")</f>
        <v/>
      </c>
      <c r="D29" s="18" t="str">
        <f>IFERROR(INDEX('🔥 Pipeline'!$E:$E,MATCH(ROW()-24,'⚙ Pipeline Engine'!$AB:$AB,0)),"")</f>
        <v/>
      </c>
      <c r="E29" s="18" t="str">
        <f>IFERROR(INDEX('🔥 Pipeline'!$I:$I,MATCH(ROW()-24,'⚙ Pipeline Engine'!$AB:$AB,0)),"")</f>
        <v/>
      </c>
      <c r="F29" s="18" t="str">
        <f>IFERROR(INDEX('🔥 Pipeline'!$H:$H,MATCH(ROW()-24,'⚙ Pipeline Engine'!$AB:$AB,0)),"")</f>
        <v/>
      </c>
      <c r="G29" s="18" t="str">
        <f>IFERROR(INDEX('🔥 Pipeline'!$G:$G,MATCH(ROW()-24,'⚙ Pipeline Engine'!$AB:$AB,0)),"")</f>
        <v/>
      </c>
      <c r="H29" s="19"/>
      <c r="I29" s="19"/>
      <c r="J29" s="19"/>
    </row>
    <row r="30" spans="1:10" ht="15.75" customHeight="1">
      <c r="A30" s="18" t="str">
        <f>IFERROR(INDEX('🔥 Pipeline'!$C:$C,MATCH(ROW()-24,'⚙ Pipeline Engine'!$AB:$AB,0)),"")</f>
        <v/>
      </c>
      <c r="B30" s="18" t="str">
        <f>IFERROR(INDEX('🔥 Pipeline'!$B:$B,MATCH(ROW()-24,'⚙ Pipeline Engine'!$AB:$AB,0)),"")</f>
        <v/>
      </c>
      <c r="C30" s="18" t="str">
        <f>IFERROR(INDEX('🔥 Pipeline'!$F:$F,MATCH(ROW()-24,'⚙ Pipeline Engine'!$AB:$AB,0)),"")</f>
        <v/>
      </c>
      <c r="D30" s="18" t="str">
        <f>IFERROR(INDEX('🔥 Pipeline'!$E:$E,MATCH(ROW()-24,'⚙ Pipeline Engine'!$AB:$AB,0)),"")</f>
        <v/>
      </c>
      <c r="E30" s="18" t="str">
        <f>IFERROR(INDEX('🔥 Pipeline'!$I:$I,MATCH(ROW()-24,'⚙ Pipeline Engine'!$AB:$AB,0)),"")</f>
        <v/>
      </c>
      <c r="F30" s="18" t="str">
        <f>IFERROR(INDEX('🔥 Pipeline'!$H:$H,MATCH(ROW()-24,'⚙ Pipeline Engine'!$AB:$AB,0)),"")</f>
        <v/>
      </c>
      <c r="G30" s="18" t="str">
        <f>IFERROR(INDEX('🔥 Pipeline'!$G:$G,MATCH(ROW()-24,'⚙ Pipeline Engine'!$AB:$AB,0)),"")</f>
        <v/>
      </c>
      <c r="H30" s="19"/>
      <c r="I30" s="19"/>
      <c r="J30" s="19"/>
    </row>
    <row r="31" spans="1:10" ht="15.75" customHeight="1">
      <c r="A31" s="18" t="str">
        <f>IFERROR(INDEX('🔥 Pipeline'!$C:$C,MATCH(ROW()-24,'⚙ Pipeline Engine'!$AB:$AB,0)),"")</f>
        <v/>
      </c>
      <c r="B31" s="18" t="str">
        <f>IFERROR(INDEX('🔥 Pipeline'!$B:$B,MATCH(ROW()-24,'⚙ Pipeline Engine'!$AB:$AB,0)),"")</f>
        <v/>
      </c>
      <c r="C31" s="18" t="str">
        <f>IFERROR(INDEX('🔥 Pipeline'!$F:$F,MATCH(ROW()-24,'⚙ Pipeline Engine'!$AB:$AB,0)),"")</f>
        <v/>
      </c>
      <c r="D31" s="18" t="str">
        <f>IFERROR(INDEX('🔥 Pipeline'!$E:$E,MATCH(ROW()-24,'⚙ Pipeline Engine'!$AB:$AB,0)),"")</f>
        <v/>
      </c>
      <c r="E31" s="18" t="str">
        <f>IFERROR(INDEX('🔥 Pipeline'!$I:$I,MATCH(ROW()-24,'⚙ Pipeline Engine'!$AB:$AB,0)),"")</f>
        <v/>
      </c>
      <c r="F31" s="18" t="str">
        <f>IFERROR(INDEX('🔥 Pipeline'!$H:$H,MATCH(ROW()-24,'⚙ Pipeline Engine'!$AB:$AB,0)),"")</f>
        <v/>
      </c>
      <c r="G31" s="18" t="str">
        <f>IFERROR(INDEX('🔥 Pipeline'!$G:$G,MATCH(ROW()-24,'⚙ Pipeline Engine'!$AB:$AB,0)),"")</f>
        <v/>
      </c>
      <c r="H31" s="19"/>
      <c r="I31" s="19"/>
      <c r="J31" s="19"/>
    </row>
    <row r="32" spans="1:10" ht="15" customHeight="1">
      <c r="A32" s="19"/>
      <c r="B32" s="19"/>
      <c r="C32" s="19"/>
      <c r="D32" s="19"/>
      <c r="E32" s="19"/>
      <c r="F32" s="19"/>
      <c r="G32" s="19"/>
      <c r="H32" s="19"/>
      <c r="I32" s="19"/>
      <c r="J32" s="19"/>
    </row>
    <row r="33" spans="1:10" ht="19.5" customHeight="1">
      <c r="A33" s="293" t="str">
        <f ca="1">"  📈  ADMISSIONS BY REP — "&amp;'⚙ Lists'!$AB$10&amp;"   (current month · auto-rolls)"</f>
        <v xml:space="preserve">  📈  ADMISSIONS BY REP — 📋 Jun 2026   (current month · auto-rolls)</v>
      </c>
      <c r="B33" s="293"/>
      <c r="C33" s="293"/>
      <c r="D33" s="293"/>
      <c r="E33" s="293"/>
      <c r="F33" s="293"/>
      <c r="G33" s="293"/>
      <c r="H33" s="293"/>
      <c r="I33" s="293"/>
      <c r="J33" s="293"/>
    </row>
    <row r="34" spans="1:10" ht="21.75" customHeight="1">
      <c r="A34" s="280" t="s">
        <v>17</v>
      </c>
      <c r="B34" s="280" t="s">
        <v>24</v>
      </c>
      <c r="C34" s="280" t="s">
        <v>25</v>
      </c>
      <c r="D34" s="280" t="s">
        <v>26</v>
      </c>
      <c r="E34" s="280" t="s">
        <v>27</v>
      </c>
      <c r="F34" s="22"/>
      <c r="G34" s="22"/>
      <c r="H34" s="20"/>
      <c r="I34" s="20"/>
      <c r="J34" s="20"/>
    </row>
    <row r="35" spans="1:10" ht="15.75" customHeight="1">
      <c r="A35" s="23" t="s">
        <v>28</v>
      </c>
      <c r="B35" s="24">
        <f ca="1">SUMIFS('⚙ Production Engine'!$C:$C,'⚙ Production Engine'!$A:$A,'⚙ Lists'!$AB$10,'⚙ Production Engine'!$B:$B,"Amy")</f>
        <v>5</v>
      </c>
      <c r="C35" s="25" t="str">
        <f ca="1">REPT("█",B35)&amp;REPT("░",MAX(0,15-B35))</f>
        <v>█████░░░░░░░░░░</v>
      </c>
      <c r="D35" s="24">
        <f ca="1">SUMIFS('⚙ Production Engine'!$D:$D,'⚙ Production Engine'!$A:$A,'⚙ Lists'!$AB$10,'⚙ Production Engine'!$B:$B,"Amy")</f>
        <v>5</v>
      </c>
      <c r="E35" s="26">
        <f ca="1">IFERROR(IF(B35=0,"—",D35/B35),"—")</f>
        <v>1</v>
      </c>
      <c r="F35" s="27"/>
      <c r="G35" s="27"/>
      <c r="H35" s="19"/>
      <c r="I35" s="19"/>
      <c r="J35" s="19"/>
    </row>
    <row r="36" spans="1:10" ht="15.75" customHeight="1">
      <c r="A36" s="23" t="s">
        <v>29</v>
      </c>
      <c r="B36" s="24">
        <f ca="1">SUMIFS('⚙ Production Engine'!$C:$C,'⚙ Production Engine'!$A:$A,'⚙ Lists'!$AB$10,'⚙ Production Engine'!$B:$B,"Nelson")</f>
        <v>2</v>
      </c>
      <c r="C36" s="25" t="str">
        <f ca="1">REPT("█",B36)&amp;REPT("░",MAX(0,15-B36))</f>
        <v>██░░░░░░░░░░░░░</v>
      </c>
      <c r="D36" s="24">
        <f ca="1">SUMIFS('⚙ Production Engine'!$D:$D,'⚙ Production Engine'!$A:$A,'⚙ Lists'!$AB$10,'⚙ Production Engine'!$B:$B,"Nelson")</f>
        <v>2</v>
      </c>
      <c r="E36" s="26">
        <f ca="1">IFERROR(IF(B36=0,"—",D36/B36),"—")</f>
        <v>1</v>
      </c>
      <c r="F36" s="28"/>
      <c r="G36" s="28"/>
      <c r="H36" s="29"/>
      <c r="I36" s="29"/>
      <c r="J36" s="29"/>
    </row>
    <row r="37" spans="1:10" ht="15.75" customHeight="1">
      <c r="A37" s="23" t="s">
        <v>30</v>
      </c>
      <c r="B37" s="24">
        <f ca="1">SUMIFS('⚙ Production Engine'!$C:$C,'⚙ Production Engine'!$A:$A,'⚙ Lists'!$AB$10,'⚙ Production Engine'!$B:$B,"Matthew")</f>
        <v>4</v>
      </c>
      <c r="C37" s="25" t="str">
        <f ca="1">REPT("█",B37)&amp;REPT("░",MAX(0,15-B37))</f>
        <v>████░░░░░░░░░░░</v>
      </c>
      <c r="D37" s="24">
        <f ca="1">SUMIFS('⚙ Production Engine'!$D:$D,'⚙ Production Engine'!$A:$A,'⚙ Lists'!$AB$10,'⚙ Production Engine'!$B:$B,"Matthew")</f>
        <v>1</v>
      </c>
      <c r="E37" s="26">
        <f ca="1">IFERROR(IF(B37=0,"—",D37/B37),"—")</f>
        <v>0.25</v>
      </c>
      <c r="F37" s="28"/>
      <c r="G37" s="28"/>
      <c r="H37" s="29"/>
      <c r="I37" s="29"/>
      <c r="J37" s="29"/>
    </row>
    <row r="38" spans="1:10" ht="15.75" customHeight="1">
      <c r="A38" s="23" t="s">
        <v>31</v>
      </c>
      <c r="B38" s="24">
        <f ca="1">SUMIFS('⚙ Production Engine'!$C:$C,'⚙ Production Engine'!$A:$A,'⚙ Lists'!$AB$10,'⚙ Production Engine'!$B:$B,"Ahbra")</f>
        <v>2</v>
      </c>
      <c r="C38" s="25" t="str">
        <f ca="1">REPT("█",B38)&amp;REPT("░",MAX(0,15-B38))</f>
        <v>██░░░░░░░░░░░░░</v>
      </c>
      <c r="D38" s="24">
        <f ca="1">SUMIFS('⚙ Production Engine'!$D:$D,'⚙ Production Engine'!$A:$A,'⚙ Lists'!$AB$10,'⚙ Production Engine'!$B:$B,"Ahbra")</f>
        <v>1</v>
      </c>
      <c r="E38" s="26">
        <f ca="1">IFERROR(IF(B38=0,"—",D38/B38),"—")</f>
        <v>0.5</v>
      </c>
      <c r="F38" s="27"/>
      <c r="G38" s="27"/>
      <c r="H38" s="29"/>
      <c r="I38" s="29"/>
      <c r="J38" s="29"/>
    </row>
    <row r="39" spans="1:10" ht="15.75" customHeight="1">
      <c r="A39" s="23" t="s">
        <v>32</v>
      </c>
      <c r="B39" s="24">
        <f ca="1">SUMIFS('⚙ Production Engine'!$C:$C,'⚙ Production Engine'!$A:$A,'⚙ Lists'!$AB$10,'⚙ Production Engine'!$B:$B,"Amos")</f>
        <v>0</v>
      </c>
      <c r="C39" s="25" t="str">
        <f ca="1">REPT("█",B39)&amp;REPT("░",MAX(0,15-B39))</f>
        <v>░░░░░░░░░░░░░░░</v>
      </c>
      <c r="D39" s="24">
        <f ca="1">SUMIFS('⚙ Production Engine'!$D:$D,'⚙ Production Engine'!$A:$A,'⚙ Lists'!$AB$10,'⚙ Production Engine'!$B:$B,"Amos")</f>
        <v>0</v>
      </c>
      <c r="E39" s="26" t="str">
        <f ca="1">IFERROR(IF(B39=0,"—",D39/B39),"—")</f>
        <v>—</v>
      </c>
      <c r="F39" s="27"/>
      <c r="G39" s="27"/>
      <c r="H39" s="29"/>
      <c r="I39" s="29"/>
      <c r="J39" s="29"/>
    </row>
    <row r="40" spans="1:10" ht="15" customHeight="1">
      <c r="A40" s="30" t="s">
        <v>33</v>
      </c>
      <c r="B40" s="31">
        <f ca="1">SUM(B35:B39)</f>
        <v>13</v>
      </c>
      <c r="C40" s="32"/>
      <c r="D40" s="31">
        <f ca="1">SUM(D35:D39)</f>
        <v>9</v>
      </c>
      <c r="E40" s="33">
        <f ca="1">IFERROR(D40/B40,"—")</f>
        <v>0.69230769230769229</v>
      </c>
      <c r="F40" s="27"/>
      <c r="G40" s="27"/>
      <c r="H40" s="29"/>
      <c r="I40" s="29"/>
      <c r="J40" s="29"/>
    </row>
    <row r="41" spans="1:10" ht="15" customHeight="1">
      <c r="A41" s="19"/>
      <c r="B41" s="19"/>
      <c r="C41" s="19"/>
      <c r="D41" s="19"/>
      <c r="E41" s="19"/>
      <c r="F41" s="19"/>
      <c r="G41" s="19"/>
      <c r="H41" s="29"/>
      <c r="I41" s="29"/>
      <c r="J41" s="29"/>
    </row>
    <row r="42" spans="1:10" ht="19.5" customHeight="1">
      <c r="A42" s="292" t="s">
        <v>34</v>
      </c>
      <c r="B42" s="292"/>
      <c r="C42" s="292"/>
      <c r="D42" s="292"/>
      <c r="E42" s="292"/>
      <c r="F42" s="292"/>
      <c r="G42" s="292"/>
      <c r="H42" s="292"/>
      <c r="I42" s="292"/>
      <c r="J42" s="292"/>
    </row>
    <row r="43" spans="1:10" ht="21.75" customHeight="1">
      <c r="A43" s="34" t="s">
        <v>35</v>
      </c>
      <c r="B43" s="34" t="s">
        <v>36</v>
      </c>
      <c r="C43" s="34" t="s">
        <v>37</v>
      </c>
      <c r="D43" s="34" t="s">
        <v>38</v>
      </c>
      <c r="E43" s="29"/>
      <c r="F43" s="29"/>
      <c r="G43" s="29"/>
      <c r="H43" s="29"/>
      <c r="I43" s="29"/>
      <c r="J43" s="29"/>
    </row>
    <row r="44" spans="1:10" ht="15.75" customHeight="1">
      <c r="A44" s="35" t="s">
        <v>39</v>
      </c>
      <c r="B44" s="36">
        <f>COUNTIF('🛏 HP Bed Board'!B10:B23,"Occupied")</f>
        <v>11</v>
      </c>
      <c r="C44" s="36">
        <v>14</v>
      </c>
      <c r="D44" s="36">
        <f>COUNTIF('🛏 HP Bed Board'!B10:B23,"Open")</f>
        <v>3</v>
      </c>
      <c r="E44" s="37" t="str">
        <f>REPT("█",ROUND(B44/C44*20,0))&amp;REPT("░",20-ROUND(B44/C44*20,0))&amp;"  "&amp;TEXT(B44/C44,"0%")</f>
        <v>████████████████░░░░  79%</v>
      </c>
      <c r="F44" s="29"/>
      <c r="G44" s="29"/>
      <c r="H44" s="29"/>
      <c r="I44" s="29"/>
      <c r="J44" s="29"/>
    </row>
    <row r="45" spans="1:10" ht="15.75" customHeight="1">
      <c r="A45" s="35" t="s">
        <v>40</v>
      </c>
      <c r="B45" s="36">
        <f>(COUNTIF('🛏 HPE Bed Board'!B11:B16,"Occupied")+COUNTIF('🛏 HPE Bed Board'!B18:B23,"Occupied"))</f>
        <v>9</v>
      </c>
      <c r="C45" s="36">
        <v>12</v>
      </c>
      <c r="D45" s="36">
        <f>(COUNTIF('🛏 HPE Bed Board'!B11:B16,"Open")+COUNTIF('🛏 HPE Bed Board'!B18:B23,"Open"))</f>
        <v>2</v>
      </c>
      <c r="E45" s="37" t="str">
        <f>REPT("█",ROUND(B45/C45*20,0))&amp;REPT("░",20-ROUND(B45/C45*20,0))&amp;"  "&amp;TEXT(B45/C45,"0%")</f>
        <v>███████████████░░░░░  75%</v>
      </c>
      <c r="F45" s="29"/>
      <c r="G45" s="29"/>
      <c r="H45" s="29"/>
      <c r="I45" s="29"/>
      <c r="J45" s="29"/>
    </row>
    <row r="46" spans="1:10" ht="15.75" customHeight="1">
      <c r="A46" s="38" t="s">
        <v>41</v>
      </c>
      <c r="B46" s="39">
        <f>B44+B45</f>
        <v>20</v>
      </c>
      <c r="C46" s="39">
        <f>C44+C45</f>
        <v>26</v>
      </c>
      <c r="D46" s="39">
        <f>D44+D45</f>
        <v>5</v>
      </c>
      <c r="E46" s="37" t="str">
        <f>REPT("█",ROUND(B46/C46*20,0))&amp;REPT("░",20-ROUND(B46/C46*20,0))&amp;"  "&amp;TEXT(B46/C46,"0%")</f>
        <v>███████████████░░░░░  77%</v>
      </c>
      <c r="F46" s="29"/>
      <c r="G46" s="29"/>
      <c r="H46" s="29"/>
      <c r="I46" s="29"/>
      <c r="J46" s="29"/>
    </row>
    <row r="47" spans="1:10" ht="15.75" customHeight="1">
      <c r="A47" s="29"/>
      <c r="B47" s="29"/>
      <c r="C47" s="29"/>
      <c r="D47" s="29"/>
      <c r="E47" s="29"/>
      <c r="F47" s="29"/>
      <c r="G47" s="29"/>
      <c r="H47" s="29"/>
      <c r="I47" s="29"/>
      <c r="J47" s="29"/>
    </row>
    <row r="48" spans="1:10" ht="15.75" customHeight="1">
      <c r="A48" s="40" t="s">
        <v>42</v>
      </c>
      <c r="B48" s="29"/>
      <c r="C48" s="29"/>
      <c r="D48" s="41">
        <v>1150</v>
      </c>
      <c r="E48" s="29"/>
      <c r="F48" s="29"/>
      <c r="G48" s="29"/>
      <c r="H48" s="29"/>
      <c r="I48" s="29"/>
      <c r="J48" s="29"/>
    </row>
    <row r="49" spans="1:10" ht="15" customHeight="1">
      <c r="A49" s="40" t="s">
        <v>43</v>
      </c>
      <c r="B49" s="29"/>
      <c r="C49" s="29"/>
      <c r="D49" s="42">
        <v>30</v>
      </c>
      <c r="E49" s="29"/>
      <c r="F49" s="29"/>
      <c r="G49" s="29"/>
      <c r="H49" s="29"/>
      <c r="I49" s="29"/>
      <c r="J49" s="29"/>
    </row>
    <row r="50" spans="1:10" ht="15" customHeight="1">
      <c r="A50" s="43" t="s">
        <v>44</v>
      </c>
      <c r="B50" s="29"/>
      <c r="C50" s="29"/>
      <c r="D50" s="44">
        <f>D46*D48*D49</f>
        <v>172500</v>
      </c>
      <c r="E50" s="29"/>
      <c r="F50" s="29"/>
      <c r="G50" s="29"/>
      <c r="H50" s="29"/>
      <c r="I50" s="29"/>
      <c r="J50" s="29"/>
    </row>
    <row r="51" spans="1:10" ht="19.5" customHeight="1">
      <c r="A51" s="40" t="s">
        <v>45</v>
      </c>
      <c r="B51" s="29"/>
      <c r="C51" s="29"/>
      <c r="D51" s="44">
        <f>B46*D48*D49</f>
        <v>690000</v>
      </c>
      <c r="E51" s="29"/>
      <c r="F51" s="29"/>
      <c r="G51" s="29"/>
      <c r="H51" s="29"/>
      <c r="I51" s="29"/>
      <c r="J51" s="29"/>
    </row>
    <row r="52" spans="1:10" ht="15" customHeight="1">
      <c r="A52" s="29"/>
      <c r="B52" s="29"/>
      <c r="C52" s="29"/>
      <c r="D52" s="29"/>
      <c r="E52" s="29"/>
      <c r="F52" s="29"/>
      <c r="G52" s="29"/>
      <c r="H52" s="29"/>
      <c r="I52" s="29"/>
      <c r="J52" s="29"/>
    </row>
    <row r="53" spans="1:10" ht="19.5" customHeight="1">
      <c r="A53" s="292" t="s">
        <v>46</v>
      </c>
      <c r="B53" s="292"/>
      <c r="C53" s="292"/>
      <c r="D53" s="292"/>
      <c r="E53" s="292"/>
      <c r="F53" s="292"/>
      <c r="G53" s="292"/>
      <c r="H53" s="292"/>
      <c r="I53" s="292"/>
      <c r="J53" s="292"/>
    </row>
    <row r="54" spans="1:10" ht="15" customHeight="1">
      <c r="A54" s="40" t="s">
        <v>47</v>
      </c>
      <c r="B54" s="45" t="str">
        <f>REPT("█",D54*2)&amp;REPT("░",MAX(0,20-D54*2))</f>
        <v>██░░░░░░░░░░░░░░░░░░</v>
      </c>
      <c r="C54" s="29"/>
      <c r="D54" s="46">
        <f>COUNTIF('🔥 Pipeline'!$D$5:$D$40,"Scheduled")</f>
        <v>1</v>
      </c>
      <c r="E54" s="29"/>
      <c r="F54" s="29"/>
      <c r="G54" s="29"/>
      <c r="H54" s="29"/>
      <c r="I54" s="29"/>
      <c r="J54" s="29"/>
    </row>
    <row r="55" spans="1:10" ht="15" customHeight="1">
      <c r="A55" s="40" t="s">
        <v>48</v>
      </c>
      <c r="B55" s="45" t="str">
        <f>REPT("█",D55*2)&amp;REPT("░",MAX(0,20-D55*2))</f>
        <v>████████████░░░░░░░░</v>
      </c>
      <c r="C55" s="29"/>
      <c r="D55" s="46">
        <f>COUNTIF('🔥 Pipeline'!$D$5:$D$40,"Prospect")</f>
        <v>6</v>
      </c>
      <c r="E55" s="29"/>
      <c r="F55" s="29"/>
      <c r="G55" s="29"/>
      <c r="H55" s="29"/>
      <c r="I55" s="29"/>
      <c r="J55" s="29"/>
    </row>
    <row r="56" spans="1:10" ht="15" customHeight="1">
      <c r="A56" s="40" t="s">
        <v>49</v>
      </c>
      <c r="B56" s="45" t="str">
        <f>REPT("█",D56*2)&amp;REPT("░",MAX(0,20-D56*2))</f>
        <v>██████████░░░░░░░░░░</v>
      </c>
      <c r="C56" s="29"/>
      <c r="D56" s="46">
        <f>COUNTIF('🔥 Pipeline'!$D$5:$D$40,"Lead")</f>
        <v>5</v>
      </c>
      <c r="E56" s="29"/>
      <c r="F56" s="29"/>
      <c r="G56" s="29"/>
      <c r="H56" s="29"/>
      <c r="I56" s="29"/>
      <c r="J56" s="29"/>
    </row>
    <row r="57" spans="1:10" ht="15" customHeight="1">
      <c r="A57" s="40" t="s">
        <v>50</v>
      </c>
      <c r="B57" s="45" t="str">
        <f>REPT("█",D57*2)&amp;REPT("░",MAX(0,20-D57*2))</f>
        <v>░░░░░░░░░░░░░░░░░░░░</v>
      </c>
      <c r="C57" s="29"/>
      <c r="D57" s="46">
        <f>COUNTIF('🔥 Pipeline'!$D$5:$D$40,"Hold")</f>
        <v>0</v>
      </c>
      <c r="E57" s="29"/>
      <c r="F57" s="29"/>
      <c r="G57" s="29"/>
      <c r="H57" s="29"/>
      <c r="I57" s="29"/>
      <c r="J57" s="29"/>
    </row>
    <row r="58" spans="1:10" ht="15" customHeight="1">
      <c r="A58" s="40" t="s">
        <v>51</v>
      </c>
      <c r="B58" s="29"/>
      <c r="C58" s="29"/>
      <c r="D58" s="46">
        <f>SUM(D54:D57)</f>
        <v>12</v>
      </c>
      <c r="E58" s="29"/>
      <c r="F58" s="29"/>
      <c r="G58" s="29"/>
      <c r="H58" s="29"/>
      <c r="I58" s="29"/>
      <c r="J58" s="29"/>
    </row>
    <row r="59" spans="1:10" ht="15" customHeight="1">
      <c r="A59" s="43" t="s">
        <v>52</v>
      </c>
      <c r="B59" s="29"/>
      <c r="C59" s="29"/>
      <c r="D59" s="46">
        <f>COUNTIF('🔥 Pipeline'!$B$5:$B$40,"Amos")</f>
        <v>0</v>
      </c>
      <c r="E59" s="29"/>
      <c r="F59" s="29"/>
      <c r="G59" s="29"/>
      <c r="H59" s="29"/>
      <c r="I59" s="29"/>
      <c r="J59" s="29"/>
    </row>
    <row r="60" spans="1:10" ht="15" customHeight="1">
      <c r="A60" s="29"/>
      <c r="B60" s="29"/>
      <c r="C60" s="29"/>
      <c r="D60" s="29"/>
      <c r="E60" s="29"/>
      <c r="F60" s="29"/>
      <c r="G60" s="29"/>
      <c r="H60" s="29"/>
      <c r="I60" s="29"/>
      <c r="J60" s="29"/>
    </row>
    <row r="61" spans="1:10" ht="19.5" customHeight="1">
      <c r="A61" s="292" t="s">
        <v>53</v>
      </c>
      <c r="B61" s="292"/>
      <c r="C61" s="292"/>
      <c r="D61" s="292"/>
      <c r="E61" s="292"/>
      <c r="F61" s="292"/>
      <c r="G61" s="292"/>
      <c r="H61" s="292"/>
      <c r="I61" s="292"/>
      <c r="J61" s="292"/>
    </row>
    <row r="62" spans="1:10" ht="19.5" customHeight="1">
      <c r="A62" s="40" t="s">
        <v>54</v>
      </c>
      <c r="B62" s="29"/>
      <c r="C62" s="29"/>
      <c r="D62" s="47">
        <f ca="1">IFERROR(COUNTIF(CHOOSE('⚙ Lists'!$AB$8,'📋 May 2026'!$M$5:$M$60,'📋 Jun 2026'!$M$5:$M$60,'📋 Jul 2026'!$M$5:$M$60,'📋 Aug 2026'!$M$5:$M$60,'📋 Sep 2026'!$M$5:$M$60,'📋 Oct 2026'!$M$5:$M$60,'📋 Nov 2026'!$M$5:$M$60,'📋 Dec 2026'!$M$5:$M$60),"Blue Shield CA")/COUNTIF(CHOOSE('⚙ Lists'!$AB$8,'📋 May 2026'!$B$5:$B$60,'📋 Jun 2026'!$B$5:$B$60,'📋 Jul 2026'!$B$5:$B$60,'📋 Aug 2026'!$B$5:$B$60,'📋 Sep 2026'!$B$5:$B$60,'📋 Oct 2026'!$B$5:$B$60,'📋 Nov 2026'!$B$5:$B$60,'📋 Dec 2026'!$B$5:$B$60),"?*"),0)</f>
        <v>0.30769230769230771</v>
      </c>
      <c r="E62" s="29"/>
      <c r="F62" s="29"/>
      <c r="G62" s="29"/>
      <c r="H62" s="29"/>
      <c r="I62" s="29"/>
      <c r="J62" s="29"/>
    </row>
    <row r="63" spans="1:10" ht="15" customHeight="1">
      <c r="A63" s="40" t="s">
        <v>55</v>
      </c>
      <c r="B63" s="29"/>
      <c r="C63" s="29"/>
      <c r="D63" s="46">
        <f>SUMPRODUCT(COUNTIF(NON_CONTRACTED,'🔥 Pipeline'!$I$5:$I$40))</f>
        <v>0</v>
      </c>
      <c r="E63" s="29"/>
      <c r="F63" s="29"/>
      <c r="G63" s="29"/>
      <c r="H63" s="29"/>
      <c r="I63" s="29"/>
      <c r="J63" s="29"/>
    </row>
    <row r="64" spans="1:10" ht="15" customHeight="1">
      <c r="A64" s="40" t="s">
        <v>56</v>
      </c>
      <c r="B64" s="29"/>
      <c r="C64" s="29"/>
      <c r="D64" s="46">
        <v>2</v>
      </c>
      <c r="E64" s="29"/>
      <c r="F64" s="29"/>
      <c r="G64" s="29"/>
      <c r="H64" s="29"/>
      <c r="I64" s="29"/>
      <c r="J64" s="29"/>
    </row>
    <row r="65" spans="1:10" ht="15" customHeight="1">
      <c r="A65" s="29"/>
      <c r="B65" s="29"/>
      <c r="C65" s="29"/>
      <c r="D65" s="29"/>
      <c r="E65" s="29"/>
      <c r="F65" s="29"/>
      <c r="G65" s="29"/>
      <c r="H65" s="29"/>
      <c r="I65" s="29"/>
      <c r="J65" s="29"/>
    </row>
    <row r="66" spans="1:10" ht="15" customHeight="1">
      <c r="A66" s="292" t="s">
        <v>57</v>
      </c>
      <c r="B66" s="292"/>
      <c r="C66" s="292"/>
      <c r="D66" s="292"/>
      <c r="E66" s="292"/>
      <c r="F66" s="29"/>
      <c r="G66" s="29"/>
      <c r="H66" s="29"/>
      <c r="I66" s="29"/>
      <c r="J66" s="29"/>
    </row>
    <row r="67" spans="1:10" ht="15" customHeight="1">
      <c r="A67" s="40" t="s">
        <v>58</v>
      </c>
      <c r="B67" s="29"/>
      <c r="C67" s="29"/>
      <c r="D67" s="46" t="str">
        <f ca="1">IFERROR(IF(CHOOSE('⚙ Lists'!$AB$8,'📋 May 2026'!$K$2,'📋 Jun 2026'!$K$2,'📋 Jul 2026'!$K$2,'📋 Aug 2026'!$K$2,'📋 Sep 2026'!$K$2,'📋 Oct 2026'!$K$2,'📋 Nov 2026'!$K$2,'📋 Dec 2026'!$K$2)=0,"—",CHOOSE('⚙ Lists'!$AB$8,'📋 May 2026'!$K$2,'📋 Jun 2026'!$K$2,'📋 Jul 2026'!$K$2,'📋 Aug 2026'!$K$2,'📋 Sep 2026'!$K$2,'📋 Oct 2026'!$K$2,'📋 Nov 2026'!$K$2,'📋 Dec 2026'!$K$2)),"—")</f>
        <v>—</v>
      </c>
      <c r="E67" s="29"/>
      <c r="F67" s="29"/>
      <c r="G67" s="29"/>
      <c r="H67" s="29"/>
      <c r="I67" s="29"/>
      <c r="J67" s="29"/>
    </row>
    <row r="68" spans="1:10" ht="15" customHeight="1">
      <c r="A68" s="40" t="s">
        <v>59</v>
      </c>
      <c r="B68" s="29"/>
      <c r="C68" s="29"/>
      <c r="D68" s="46">
        <f ca="1">COUNTIF(CHOOSE('⚙ Lists'!$AB$8,'📋 May 2026'!$L$5:$L$60,'📋 Jun 2026'!$L$5:$L$60,'📋 Jul 2026'!$L$5:$L$60,'📋 Aug 2026'!$L$5:$L$60,'📋 Sep 2026'!$L$5:$L$60,'📋 Oct 2026'!$L$5:$L$60,'📋 Nov 2026'!$L$5:$L$60,'📋 Dec 2026'!$L$5:$L$60),"*Ahbra*")</f>
        <v>2</v>
      </c>
      <c r="E68" s="29"/>
      <c r="F68" s="29"/>
      <c r="G68" s="29"/>
      <c r="H68" s="29"/>
      <c r="I68" s="29"/>
      <c r="J68" s="29"/>
    </row>
    <row r="69" spans="1:10" ht="15" customHeight="1">
      <c r="A69" s="40" t="s">
        <v>60</v>
      </c>
      <c r="B69" s="29"/>
      <c r="C69" s="29"/>
      <c r="D69" s="47" t="str">
        <f ca="1">IFERROR(D68/D67,"—")</f>
        <v>—</v>
      </c>
      <c r="E69" s="29"/>
      <c r="F69" s="29"/>
      <c r="G69" s="29"/>
      <c r="H69" s="29"/>
      <c r="I69" s="29"/>
      <c r="J69" s="29"/>
    </row>
    <row r="70" spans="1:10" ht="19.5" customHeight="1">
      <c r="A70" s="29"/>
      <c r="B70" s="29"/>
      <c r="C70" s="29"/>
      <c r="D70" s="29"/>
      <c r="E70" s="29"/>
      <c r="F70" s="29"/>
      <c r="G70" s="29"/>
      <c r="H70" s="29"/>
      <c r="I70" s="29"/>
      <c r="J70" s="29"/>
    </row>
    <row r="71" spans="1:10" ht="15" customHeight="1">
      <c r="A71" s="29"/>
      <c r="B71" s="29"/>
      <c r="C71" s="29"/>
      <c r="D71" s="29"/>
      <c r="E71" s="29"/>
      <c r="F71" s="29"/>
      <c r="G71" s="29"/>
      <c r="H71" s="29"/>
      <c r="I71" s="29"/>
      <c r="J71" s="29"/>
    </row>
    <row r="72" spans="1:10" ht="15" customHeight="1">
      <c r="A72" s="292" t="s">
        <v>61</v>
      </c>
      <c r="B72" s="292"/>
      <c r="C72" s="292"/>
      <c r="D72" s="292"/>
      <c r="E72" s="292"/>
      <c r="F72" s="292"/>
      <c r="G72" s="292"/>
      <c r="H72" s="292"/>
      <c r="I72" s="292"/>
      <c r="J72" s="292"/>
    </row>
    <row r="73" spans="1:10" ht="15" customHeight="1">
      <c r="A73" s="48" t="s">
        <v>62</v>
      </c>
      <c r="B73" s="48" t="s">
        <v>63</v>
      </c>
      <c r="C73" s="48" t="s">
        <v>64</v>
      </c>
      <c r="D73" s="48" t="s">
        <v>65</v>
      </c>
      <c r="E73" s="48" t="s">
        <v>66</v>
      </c>
      <c r="F73" s="48" t="s">
        <v>67</v>
      </c>
      <c r="G73" s="48" t="s">
        <v>68</v>
      </c>
      <c r="H73" s="29"/>
      <c r="I73" s="29"/>
      <c r="J73" s="29"/>
    </row>
    <row r="74" spans="1:10" ht="27.75" customHeight="1">
      <c r="A74" s="49">
        <f ca="1">COUNTIFS('🔥 Pipeline'!$S$5:$S$40,"&gt;="&amp;(EOMONTH(TODAY(),-1)+1),'🔥 Pipeline'!$S$5:$S$40,"&lt;="&amp;TODAY())</f>
        <v>8</v>
      </c>
      <c r="B74" s="49">
        <f>COUNTIF('🔥 Pipeline'!$N$5:$N$40,"Completed")</f>
        <v>1</v>
      </c>
      <c r="C74" s="49">
        <f ca="1">IFERROR(COUNTA(CHOOSE('⚙ Lists'!$AB$8,'📋 May 2026'!$B$5:$B$60,'📋 Jun 2026'!$B$5:$B$60,'📋 Jul 2026'!$B$5:$B$60,'📋 Aug 2026'!$B$5:$B$60,'📋 Sep 2026'!$B$5:$B$60,'📋 Oct 2026'!$B$5:$B$60,'📋 Nov 2026'!$B$5:$B$60,'📋 Dec 2026'!$B$5:$B$60)),0)</f>
        <v>13</v>
      </c>
      <c r="D74" s="50">
        <f ca="1">IFERROR($C$74/($C$74+COUNTIF('🔥 Pipeline'!$P$5:$P$40,"Lost")+COUNTIF('🔥 Pipeline'!$P$5:$P$40,"Declined")+COUNTIF('🔥 Pipeline'!$P$5:$P$40,"Referred Out")),"—")</f>
        <v>1</v>
      </c>
      <c r="E74" s="49">
        <f ca="1">COUNTIFS('🔥 Pipeline'!$D$5:$D$40,"Scheduled",'🔥 Pipeline'!$H$5:$H$40,"&gt;="&amp;TODAY(),'🔥 Pipeline'!$H$5:$H$40,"&lt;="&amp;(TODAY()+7))</f>
        <v>1</v>
      </c>
      <c r="F74" s="49">
        <f ca="1">COUNTIFS('🛏 HP Bed Board'!B10:B23,"Occupied",'🛏 HP Bed Board'!H10:H23,"&gt;="&amp;TODAY(),'🛏 HP Bed Board'!H10:H23,"&lt;="&amp;TODAY()+7)+COUNTIFS('🛏 HPE Bed Board'!B11:B16,"Occupied",'🛏 HPE Bed Board'!H11:H16,"&gt;="&amp;TODAY(),'🛏 HPE Bed Board'!H11:H16,"&lt;="&amp;TODAY()+7)+COUNTIFS('🛏 HPE Bed Board'!B18:B23,"Occupied",'🛏 HPE Bed Board'!H18:H23,"&gt;="&amp;TODAY(),'🛏 HPE Bed Board'!H18:H23,"&lt;="&amp;TODAY()+7)</f>
        <v>4</v>
      </c>
      <c r="G74" s="49">
        <f ca="1">(COUNTIF('🛏 HP Bed Board'!B10:B23,"Occupied")+(COUNTIF('🛏 HPE Bed Board'!B11:B16,"Occupied")+COUNTIF('🛏 HPE Bed Board'!B18:B23,"Occupied")))-$F$74+$E$74</f>
        <v>17</v>
      </c>
    </row>
    <row r="75" spans="1:10" ht="15" hidden="1" customHeight="1"/>
    <row r="76" spans="1:10" ht="15" hidden="1" customHeight="1"/>
    <row r="77" spans="1:10" ht="15" hidden="1" customHeight="1"/>
  </sheetData>
  <sheetProtection sheet="1" sort="0" autoFilter="0"/>
  <mergeCells count="13">
    <mergeCell ref="A1:J1"/>
    <mergeCell ref="A2:D2"/>
    <mergeCell ref="E2:H2"/>
    <mergeCell ref="A3:H3"/>
    <mergeCell ref="A4:H4"/>
    <mergeCell ref="A61:J61"/>
    <mergeCell ref="A66:E66"/>
    <mergeCell ref="A72:J72"/>
    <mergeCell ref="A8:J8"/>
    <mergeCell ref="A23:J23"/>
    <mergeCell ref="A33:J33"/>
    <mergeCell ref="A42:J42"/>
    <mergeCell ref="A53:J53"/>
  </mergeCells>
  <conditionalFormatting sqref="A10:H35">
    <cfRule type="expression" dxfId="56" priority="2">
      <formula>$A10&lt;&gt;""</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605B"/>
    <pageSetUpPr fitToPage="1"/>
  </sheetPr>
  <dimension ref="A1:AJ240"/>
  <sheetViews>
    <sheetView showGridLines="0" tabSelected="1" zoomScaleNormal="100" workbookViewId="0">
      <selection activeCell="AM1" sqref="AM1:AM1048576"/>
    </sheetView>
  </sheetViews>
  <sheetFormatPr defaultColWidth="8.7109375" defaultRowHeight="15"/>
  <cols>
    <col min="1" max="1" width="14.7109375" customWidth="1"/>
    <col min="2" max="2" width="14" customWidth="1"/>
    <col min="3" max="3" width="18" customWidth="1"/>
    <col min="4" max="4" width="10.7109375" customWidth="1"/>
    <col min="5" max="5" width="12" customWidth="1"/>
    <col min="6" max="6" width="11" customWidth="1"/>
    <col min="7" max="7" width="8" customWidth="1"/>
    <col min="8" max="8" width="11" customWidth="1"/>
    <col min="9" max="9" width="12" customWidth="1"/>
    <col min="10" max="10" width="13" customWidth="1"/>
    <col min="11" max="35" width="13" hidden="1" customWidth="1"/>
    <col min="36" max="36" width="2.5703125" customWidth="1"/>
    <col min="39" max="39" width="8.7109375" bestFit="1" customWidth="1"/>
  </cols>
  <sheetData>
    <row r="1" spans="1:10" ht="24" customHeight="1">
      <c r="A1" s="299" t="s">
        <v>69</v>
      </c>
      <c r="B1" s="299"/>
      <c r="C1" s="299"/>
      <c r="D1" s="299"/>
      <c r="E1" s="299"/>
      <c r="F1" s="299"/>
      <c r="G1" s="299"/>
      <c r="H1" s="299"/>
      <c r="I1" s="299"/>
      <c r="J1" s="299"/>
    </row>
    <row r="2" spans="1:10" ht="12" customHeight="1">
      <c r="A2" s="300" t="str">
        <f ca="1">"As of  "&amp;TEXT(NOW(),"dddd, mmmm d, yyyy")</f>
        <v>As of  Wednesday, June 17, 2026</v>
      </c>
      <c r="B2" s="300"/>
      <c r="C2" s="300"/>
      <c r="D2" s="300"/>
      <c r="E2" s="300"/>
      <c r="F2" s="300"/>
      <c r="G2" s="300"/>
      <c r="H2" s="300"/>
      <c r="I2" s="300"/>
      <c r="J2" s="300"/>
    </row>
    <row r="3" spans="1:10" ht="3.75" customHeight="1"/>
    <row r="4" spans="1:10" ht="15.75" customHeight="1">
      <c r="A4" s="298" t="s">
        <v>70</v>
      </c>
      <c r="B4" s="298"/>
      <c r="C4" s="298"/>
      <c r="D4" s="298"/>
      <c r="E4" s="298"/>
      <c r="F4" s="298"/>
      <c r="G4" s="298"/>
      <c r="H4" s="298"/>
      <c r="I4" s="298"/>
      <c r="J4" s="298"/>
    </row>
    <row r="5" spans="1:10" ht="12" customHeight="1">
      <c r="A5" s="51" t="s">
        <v>2</v>
      </c>
      <c r="B5" s="51" t="s">
        <v>3</v>
      </c>
      <c r="C5" s="51" t="s">
        <v>4</v>
      </c>
      <c r="D5" s="51" t="s">
        <v>5</v>
      </c>
      <c r="E5" s="51" t="s">
        <v>6</v>
      </c>
      <c r="F5" s="51" t="s">
        <v>7</v>
      </c>
      <c r="G5" s="51" t="s">
        <v>8</v>
      </c>
      <c r="H5" s="51" t="s">
        <v>9</v>
      </c>
      <c r="I5" s="52"/>
      <c r="J5" s="52"/>
    </row>
    <row r="6" spans="1:10" ht="21.75" customHeight="1">
      <c r="A6" s="53" t="str">
        <f>'📊 Dashboard'!A6</f>
        <v>11/14</v>
      </c>
      <c r="B6" s="53" t="str">
        <f>'📊 Dashboard'!B6</f>
        <v>9/12</v>
      </c>
      <c r="C6" s="53" t="str">
        <f>'📊 Dashboard'!C6</f>
        <v>20/26</v>
      </c>
      <c r="D6" s="53">
        <f>'📊 Dashboard'!D6</f>
        <v>5</v>
      </c>
      <c r="E6" s="53">
        <f>'📊 Dashboard'!E6</f>
        <v>1</v>
      </c>
      <c r="F6" s="53">
        <f ca="1">'📊 Dashboard'!F6</f>
        <v>13</v>
      </c>
      <c r="G6" s="54">
        <f ca="1">'📊 Dashboard'!G6</f>
        <v>1</v>
      </c>
      <c r="H6" s="53">
        <f ca="1">'📊 Dashboard'!H6</f>
        <v>17</v>
      </c>
      <c r="I6" s="55"/>
      <c r="J6" s="55"/>
    </row>
    <row r="7" spans="1:10" ht="3.75" customHeight="1"/>
    <row r="8" spans="1:10" ht="15.75" customHeight="1">
      <c r="A8" s="298" t="str">
        <f ca="1">" ⚠   DISCHARGE WATCH — NEXT 7 DAYS      ("&amp;SUM('⚙ Census Engine'!$AB$10:$AB$35)&amp;" total)"</f>
        <v xml:space="preserve"> ⚠   DISCHARGE WATCH — NEXT 7 DAYS      (4 total)</v>
      </c>
      <c r="B8" s="298"/>
      <c r="C8" s="298"/>
      <c r="D8" s="298"/>
      <c r="E8" s="298"/>
      <c r="F8" s="298"/>
      <c r="G8" s="298"/>
      <c r="H8" s="298"/>
      <c r="I8" s="298"/>
      <c r="J8" s="298"/>
    </row>
    <row r="9" spans="1:10" ht="13.5" customHeight="1">
      <c r="A9" s="56" t="s">
        <v>10</v>
      </c>
      <c r="B9" s="56" t="s">
        <v>11</v>
      </c>
      <c r="C9" s="56" t="s">
        <v>12</v>
      </c>
      <c r="D9" s="56" t="s">
        <v>13</v>
      </c>
      <c r="E9" s="56" t="s">
        <v>14</v>
      </c>
      <c r="F9" s="56" t="s">
        <v>15</v>
      </c>
      <c r="G9" s="56" t="s">
        <v>16</v>
      </c>
      <c r="H9" s="56" t="s">
        <v>17</v>
      </c>
      <c r="I9" s="56" t="s">
        <v>18</v>
      </c>
      <c r="J9" s="56" t="s">
        <v>19</v>
      </c>
    </row>
    <row r="10" spans="1:10" ht="13.5" customHeight="1">
      <c r="A10" s="57" t="str">
        <f ca="1">'📊 Dashboard'!A10</f>
        <v>Rhonda Baim</v>
      </c>
      <c r="B10" s="58" t="str">
        <f ca="1">'📊 Dashboard'!B10</f>
        <v>HPE</v>
      </c>
      <c r="C10" s="58" t="str">
        <f ca="1">'📊 Dashboard'!C10</f>
        <v>H1-2A</v>
      </c>
      <c r="D10" s="58" t="str">
        <f ca="1">'📊 Dashboard'!D10</f>
        <v>5/24</v>
      </c>
      <c r="E10" s="58">
        <f ca="1">'📊 Dashboard'!E10</f>
        <v>24</v>
      </c>
      <c r="F10" s="58" t="str">
        <f ca="1">'📊 Dashboard'!F10</f>
        <v>6/23</v>
      </c>
      <c r="G10" s="58" t="str">
        <f ca="1">'📊 Dashboard'!G10</f>
        <v>6d</v>
      </c>
      <c r="H10" s="58" t="str">
        <f ca="1">'📊 Dashboard'!H10</f>
        <v>Nelson</v>
      </c>
      <c r="I10" s="58" t="str">
        <f ca="1">'📊 Dashboard'!I10</f>
        <v>DTX</v>
      </c>
      <c r="J10" s="57" t="str">
        <f ca="1">'📊 Dashboard'!J10</f>
        <v>Anthem BC</v>
      </c>
    </row>
    <row r="11" spans="1:10" ht="13.5" customHeight="1">
      <c r="A11" s="57" t="str">
        <f ca="1">'📊 Dashboard'!A11</f>
        <v>Darian Loehner</v>
      </c>
      <c r="B11" s="58" t="str">
        <f ca="1">'📊 Dashboard'!B11</f>
        <v>HP</v>
      </c>
      <c r="C11" s="58" t="str">
        <f ca="1">'📊 Dashboard'!C11</f>
        <v>M2-B</v>
      </c>
      <c r="D11" s="58" t="str">
        <f ca="1">'📊 Dashboard'!D11</f>
        <v>6/10</v>
      </c>
      <c r="E11" s="58">
        <f ca="1">'📊 Dashboard'!E11</f>
        <v>7</v>
      </c>
      <c r="F11" s="58" t="str">
        <f ca="1">'📊 Dashboard'!F11</f>
        <v>6/20</v>
      </c>
      <c r="G11" s="58" t="str">
        <f ca="1">'📊 Dashboard'!G11</f>
        <v>3d</v>
      </c>
      <c r="H11" s="58" t="str">
        <f ca="1">'📊 Dashboard'!H11</f>
        <v>Amy</v>
      </c>
      <c r="I11" s="58" t="str">
        <f ca="1">'📊 Dashboard'!I11</f>
        <v>DTX</v>
      </c>
      <c r="J11" s="57" t="str">
        <f ca="1">'📊 Dashboard'!J11</f>
        <v>Aetna</v>
      </c>
    </row>
    <row r="12" spans="1:10" ht="13.5" customHeight="1">
      <c r="A12" s="57" t="str">
        <f ca="1">'📊 Dashboard'!A12</f>
        <v>Monica Gamboa</v>
      </c>
      <c r="B12" s="58" t="str">
        <f ca="1">'📊 Dashboard'!B12</f>
        <v>HP</v>
      </c>
      <c r="C12" s="58" t="str">
        <f ca="1">'📊 Dashboard'!C12</f>
        <v>M3-B</v>
      </c>
      <c r="D12" s="58" t="str">
        <f ca="1">'📊 Dashboard'!D12</f>
        <v>6/11</v>
      </c>
      <c r="E12" s="58">
        <f ca="1">'📊 Dashboard'!E12</f>
        <v>6</v>
      </c>
      <c r="F12" s="58" t="str">
        <f ca="1">'📊 Dashboard'!F12</f>
        <v>6/21</v>
      </c>
      <c r="G12" s="58" t="str">
        <f ca="1">'📊 Dashboard'!G12</f>
        <v>4d</v>
      </c>
      <c r="H12" s="58" t="str">
        <f ca="1">'📊 Dashboard'!H12</f>
        <v>Amy</v>
      </c>
      <c r="I12" s="58" t="str">
        <f ca="1">'📊 Dashboard'!I12</f>
        <v>DTX/RTC</v>
      </c>
      <c r="J12" s="57" t="str">
        <f ca="1">'📊 Dashboard'!J12</f>
        <v>Molina CA</v>
      </c>
    </row>
    <row r="13" spans="1:10" ht="13.5" customHeight="1">
      <c r="A13" s="57" t="str">
        <f ca="1">'📊 Dashboard'!A13</f>
        <v>Allisa Leuvrey</v>
      </c>
      <c r="B13" s="58" t="str">
        <f ca="1">'📊 Dashboard'!B13</f>
        <v>HPE</v>
      </c>
      <c r="C13" s="58" t="str">
        <f ca="1">'📊 Dashboard'!C13</f>
        <v>H1-1A</v>
      </c>
      <c r="D13" s="58" t="str">
        <f ca="1">'📊 Dashboard'!D13</f>
        <v>6/12</v>
      </c>
      <c r="E13" s="58">
        <f ca="1">'📊 Dashboard'!E13</f>
        <v>5</v>
      </c>
      <c r="F13" s="58" t="str">
        <f ca="1">'📊 Dashboard'!F13</f>
        <v>6/19</v>
      </c>
      <c r="G13" s="58" t="str">
        <f ca="1">'📊 Dashboard'!G13</f>
        <v>2d</v>
      </c>
      <c r="H13" s="58" t="str">
        <f ca="1">'📊 Dashboard'!H13</f>
        <v>Amy</v>
      </c>
      <c r="I13" s="58" t="str">
        <f ca="1">'📊 Dashboard'!I13</f>
        <v>DTX</v>
      </c>
      <c r="J13" s="57" t="str">
        <f ca="1">'📊 Dashboard'!J13</f>
        <v>Blue Shield CA</v>
      </c>
    </row>
    <row r="14" spans="1:10" ht="13.5" customHeight="1">
      <c r="A14" s="57" t="str">
        <f ca="1">'📊 Dashboard'!A14</f>
        <v/>
      </c>
      <c r="B14" s="58" t="str">
        <f ca="1">'📊 Dashboard'!B14</f>
        <v/>
      </c>
      <c r="C14" s="58" t="str">
        <f ca="1">'📊 Dashboard'!C14</f>
        <v/>
      </c>
      <c r="D14" s="58" t="str">
        <f ca="1">'📊 Dashboard'!D14</f>
        <v/>
      </c>
      <c r="E14" s="58" t="str">
        <f ca="1">'📊 Dashboard'!E14</f>
        <v/>
      </c>
      <c r="F14" s="58" t="str">
        <f ca="1">'📊 Dashboard'!F14</f>
        <v/>
      </c>
      <c r="G14" s="58" t="str">
        <f ca="1">'📊 Dashboard'!G14</f>
        <v/>
      </c>
      <c r="H14" s="58" t="str">
        <f ca="1">'📊 Dashboard'!H14</f>
        <v/>
      </c>
      <c r="I14" s="58" t="str">
        <f ca="1">'📊 Dashboard'!I14</f>
        <v/>
      </c>
      <c r="J14" s="57" t="str">
        <f ca="1">'📊 Dashboard'!J14</f>
        <v/>
      </c>
    </row>
    <row r="15" spans="1:10" ht="13.5" customHeight="1">
      <c r="A15" s="57" t="str">
        <f ca="1">'📊 Dashboard'!A15</f>
        <v/>
      </c>
      <c r="B15" s="58" t="str">
        <f ca="1">'📊 Dashboard'!B15</f>
        <v/>
      </c>
      <c r="C15" s="58" t="str">
        <f ca="1">'📊 Dashboard'!C15</f>
        <v/>
      </c>
      <c r="D15" s="58" t="str">
        <f ca="1">'📊 Dashboard'!D15</f>
        <v/>
      </c>
      <c r="E15" s="58" t="str">
        <f ca="1">'📊 Dashboard'!E15</f>
        <v/>
      </c>
      <c r="F15" s="58" t="str">
        <f ca="1">'📊 Dashboard'!F15</f>
        <v/>
      </c>
      <c r="G15" s="58" t="str">
        <f ca="1">'📊 Dashboard'!G15</f>
        <v/>
      </c>
      <c r="H15" s="58" t="str">
        <f ca="1">'📊 Dashboard'!H15</f>
        <v/>
      </c>
      <c r="I15" s="58" t="str">
        <f ca="1">'📊 Dashboard'!I15</f>
        <v/>
      </c>
      <c r="J15" s="57" t="str">
        <f ca="1">'📊 Dashboard'!J15</f>
        <v/>
      </c>
    </row>
    <row r="16" spans="1:10" ht="13.5" customHeight="1">
      <c r="A16" s="57" t="str">
        <f ca="1">'📊 Dashboard'!A16</f>
        <v/>
      </c>
      <c r="B16" s="58" t="str">
        <f ca="1">'📊 Dashboard'!B16</f>
        <v/>
      </c>
      <c r="C16" s="58" t="str">
        <f ca="1">'📊 Dashboard'!C16</f>
        <v/>
      </c>
      <c r="D16" s="58" t="str">
        <f ca="1">'📊 Dashboard'!D16</f>
        <v/>
      </c>
      <c r="E16" s="58" t="str">
        <f ca="1">'📊 Dashboard'!E16</f>
        <v/>
      </c>
      <c r="F16" s="58" t="str">
        <f ca="1">'📊 Dashboard'!F16</f>
        <v/>
      </c>
      <c r="G16" s="58" t="str">
        <f ca="1">'📊 Dashboard'!G16</f>
        <v/>
      </c>
      <c r="H16" s="58" t="str">
        <f ca="1">'📊 Dashboard'!H16</f>
        <v/>
      </c>
      <c r="I16" s="58" t="str">
        <f ca="1">'📊 Dashboard'!I16</f>
        <v/>
      </c>
      <c r="J16" s="57" t="str">
        <f ca="1">'📊 Dashboard'!J16</f>
        <v/>
      </c>
    </row>
    <row r="17" spans="1:10" ht="13.5" customHeight="1">
      <c r="A17" s="57" t="str">
        <f ca="1">'📊 Dashboard'!A17</f>
        <v/>
      </c>
      <c r="B17" s="58" t="str">
        <f ca="1">'📊 Dashboard'!B17</f>
        <v/>
      </c>
      <c r="C17" s="58" t="str">
        <f ca="1">'📊 Dashboard'!C17</f>
        <v/>
      </c>
      <c r="D17" s="58" t="str">
        <f ca="1">'📊 Dashboard'!D17</f>
        <v/>
      </c>
      <c r="E17" s="58" t="str">
        <f ca="1">'📊 Dashboard'!E17</f>
        <v/>
      </c>
      <c r="F17" s="58" t="str">
        <f ca="1">'📊 Dashboard'!F17</f>
        <v/>
      </c>
      <c r="G17" s="58" t="str">
        <f ca="1">'📊 Dashboard'!G17</f>
        <v/>
      </c>
      <c r="H17" s="58" t="str">
        <f ca="1">'📊 Dashboard'!H17</f>
        <v/>
      </c>
      <c r="I17" s="58" t="str">
        <f ca="1">'📊 Dashboard'!I17</f>
        <v/>
      </c>
      <c r="J17" s="57" t="str">
        <f ca="1">'📊 Dashboard'!J17</f>
        <v/>
      </c>
    </row>
    <row r="18" spans="1:10" ht="3.75" customHeight="1"/>
    <row r="19" spans="1:10" ht="15.75" customHeight="1">
      <c r="A19" s="298" t="str">
        <f>"  📅   SCHEDULED INTAKES      ("&amp;COUNTIF('🔥 Pipeline'!$D$5:$D$100,"Scheduled")&amp;" scheduled)"</f>
        <v xml:space="preserve">  📅   SCHEDULED INTAKES      (1 scheduled)</v>
      </c>
      <c r="B19" s="298"/>
      <c r="C19" s="298"/>
      <c r="D19" s="298"/>
      <c r="E19" s="298"/>
      <c r="F19" s="298"/>
      <c r="G19" s="298"/>
      <c r="H19" s="298"/>
      <c r="I19" s="298"/>
      <c r="J19" s="298"/>
    </row>
    <row r="20" spans="1:10" ht="13.5" customHeight="1">
      <c r="A20" s="56" t="s">
        <v>10</v>
      </c>
      <c r="B20" s="56" t="s">
        <v>17</v>
      </c>
      <c r="C20" s="56" t="s">
        <v>11</v>
      </c>
      <c r="D20" s="56" t="s">
        <v>18</v>
      </c>
      <c r="E20" s="56" t="s">
        <v>21</v>
      </c>
      <c r="F20" s="56" t="s">
        <v>22</v>
      </c>
      <c r="G20" s="56" t="s">
        <v>23</v>
      </c>
      <c r="H20" s="59"/>
      <c r="I20" s="59"/>
      <c r="J20" s="59"/>
    </row>
    <row r="21" spans="1:10" ht="13.5" customHeight="1">
      <c r="A21" s="57" t="str">
        <f>'📊 Dashboard'!A25</f>
        <v>Tara Shinde</v>
      </c>
      <c r="B21" s="58" t="str">
        <f>'📊 Dashboard'!B25</f>
        <v>Amy</v>
      </c>
      <c r="C21" s="58" t="str">
        <f>'📊 Dashboard'!C25</f>
        <v>HPE</v>
      </c>
      <c r="D21" s="58" t="str">
        <f>'📊 Dashboard'!D25</f>
        <v>DTX/RTC</v>
      </c>
      <c r="E21" s="57" t="str">
        <f>'📊 Dashboard'!E25</f>
        <v>BCBS IL</v>
      </c>
      <c r="F21" s="60">
        <f>'📊 Dashboard'!F25</f>
        <v>46192</v>
      </c>
      <c r="G21" s="58" t="str">
        <f>'📊 Dashboard'!G25</f>
        <v>✓</v>
      </c>
      <c r="H21" s="61"/>
      <c r="I21" s="61"/>
      <c r="J21" s="61"/>
    </row>
    <row r="22" spans="1:10" ht="13.5" customHeight="1">
      <c r="A22" s="57" t="str">
        <f>'📊 Dashboard'!A26</f>
        <v/>
      </c>
      <c r="B22" s="58" t="str">
        <f>'📊 Dashboard'!B26</f>
        <v/>
      </c>
      <c r="C22" s="58" t="str">
        <f>'📊 Dashboard'!C26</f>
        <v/>
      </c>
      <c r="D22" s="58" t="str">
        <f>'📊 Dashboard'!D26</f>
        <v/>
      </c>
      <c r="E22" s="57" t="str">
        <f>'📊 Dashboard'!E26</f>
        <v/>
      </c>
      <c r="F22" s="58" t="str">
        <f>'📊 Dashboard'!F26</f>
        <v/>
      </c>
      <c r="G22" s="58" t="str">
        <f>'📊 Dashboard'!G26</f>
        <v/>
      </c>
      <c r="H22" s="61"/>
      <c r="I22" s="61"/>
      <c r="J22" s="61"/>
    </row>
    <row r="23" spans="1:10" ht="13.5" customHeight="1">
      <c r="A23" s="57" t="str">
        <f>'📊 Dashboard'!A27</f>
        <v/>
      </c>
      <c r="B23" s="58" t="str">
        <f>'📊 Dashboard'!B27</f>
        <v/>
      </c>
      <c r="C23" s="58" t="str">
        <f>'📊 Dashboard'!C27</f>
        <v/>
      </c>
      <c r="D23" s="58" t="str">
        <f>'📊 Dashboard'!D27</f>
        <v/>
      </c>
      <c r="E23" s="57" t="str">
        <f>'📊 Dashboard'!E27</f>
        <v/>
      </c>
      <c r="F23" s="58" t="str">
        <f>'📊 Dashboard'!F27</f>
        <v/>
      </c>
      <c r="G23" s="58" t="str">
        <f>'📊 Dashboard'!G27</f>
        <v/>
      </c>
      <c r="H23" s="61"/>
      <c r="I23" s="61"/>
      <c r="J23" s="61"/>
    </row>
    <row r="24" spans="1:10" ht="13.5" customHeight="1">
      <c r="A24" s="57" t="str">
        <f>'📊 Dashboard'!A28</f>
        <v/>
      </c>
      <c r="B24" s="58" t="str">
        <f>'📊 Dashboard'!B28</f>
        <v/>
      </c>
      <c r="C24" s="58" t="str">
        <f>'📊 Dashboard'!C28</f>
        <v/>
      </c>
      <c r="D24" s="58" t="str">
        <f>'📊 Dashboard'!D28</f>
        <v/>
      </c>
      <c r="E24" s="57" t="str">
        <f>'📊 Dashboard'!E28</f>
        <v/>
      </c>
      <c r="F24" s="58" t="str">
        <f>'📊 Dashboard'!F28</f>
        <v/>
      </c>
      <c r="G24" s="58" t="str">
        <f>'📊 Dashboard'!G28</f>
        <v/>
      </c>
      <c r="H24" s="61"/>
      <c r="I24" s="61"/>
      <c r="J24" s="61"/>
    </row>
    <row r="25" spans="1:10" ht="13.5" customHeight="1">
      <c r="A25" s="57" t="str">
        <f>'📊 Dashboard'!A29</f>
        <v/>
      </c>
      <c r="B25" s="58" t="str">
        <f>'📊 Dashboard'!B29</f>
        <v/>
      </c>
      <c r="C25" s="58" t="str">
        <f>'📊 Dashboard'!C29</f>
        <v/>
      </c>
      <c r="D25" s="58" t="str">
        <f>'📊 Dashboard'!D29</f>
        <v/>
      </c>
      <c r="E25" s="57" t="str">
        <f>'📊 Dashboard'!E29</f>
        <v/>
      </c>
      <c r="F25" s="58" t="str">
        <f>'📊 Dashboard'!F29</f>
        <v/>
      </c>
      <c r="G25" s="58" t="str">
        <f>'📊 Dashboard'!G29</f>
        <v/>
      </c>
      <c r="H25" s="61"/>
      <c r="I25" s="61"/>
      <c r="J25" s="61"/>
    </row>
    <row r="26" spans="1:10" ht="3.75" customHeight="1"/>
    <row r="27" spans="1:10" ht="15.75" customHeight="1">
      <c r="A27" s="298" t="str">
        <f>"  🔥   ACTIVE PIPELINE      ("&amp;(COUNTIF('🔥 Pipeline'!$D$5:$D$40,"Scheduled")+COUNTIF('🔥 Pipeline'!$D$5:$D$40,"Prospect")+COUNTIF('🔥 Pipeline'!$D$5:$D$40,"Lead")+COUNTIF('🔥 Pipeline'!$D$5:$D$40,"Hold"))&amp;" active)"</f>
        <v xml:space="preserve">  🔥   ACTIVE PIPELINE      (12 active)</v>
      </c>
      <c r="B27" s="298"/>
      <c r="C27" s="298"/>
      <c r="D27" s="298"/>
      <c r="E27" s="298"/>
      <c r="F27" s="298"/>
      <c r="G27" s="298"/>
      <c r="H27" s="298"/>
      <c r="I27" s="298"/>
      <c r="J27" s="298"/>
    </row>
    <row r="28" spans="1:10" ht="13.5" customHeight="1">
      <c r="A28" s="56" t="s">
        <v>71</v>
      </c>
      <c r="B28" s="56" t="s">
        <v>17</v>
      </c>
      <c r="C28" s="56" t="s">
        <v>10</v>
      </c>
      <c r="D28" s="56" t="s">
        <v>72</v>
      </c>
      <c r="E28" s="56" t="s">
        <v>18</v>
      </c>
      <c r="F28" s="56" t="s">
        <v>11</v>
      </c>
      <c r="G28" s="56" t="s">
        <v>23</v>
      </c>
      <c r="H28" s="56" t="s">
        <v>22</v>
      </c>
      <c r="I28" s="56" t="s">
        <v>21</v>
      </c>
      <c r="J28" s="56" t="s">
        <v>73</v>
      </c>
    </row>
    <row r="29" spans="1:10" ht="13.5" customHeight="1">
      <c r="A29" s="58">
        <f>IF('🔥 Pipeline'!$C5="","",'🔥 Pipeline'!A5)</f>
        <v>1</v>
      </c>
      <c r="B29" s="58" t="str">
        <f>IF('🔥 Pipeline'!$C5="","",'🔥 Pipeline'!B5)</f>
        <v>Amy</v>
      </c>
      <c r="C29" s="57" t="str">
        <f>IF('🔥 Pipeline'!$C5="","",'🔥 Pipeline'!C5)</f>
        <v>Christopher Knight</v>
      </c>
      <c r="D29" s="58" t="str">
        <f>IF('🔥 Pipeline'!$C5="","",'🔥 Pipeline'!D5)</f>
        <v>Prospect</v>
      </c>
      <c r="E29" s="58" t="str">
        <f>IF('🔥 Pipeline'!$C5="","",'🔥 Pipeline'!E5)</f>
        <v>DTX/RTC</v>
      </c>
      <c r="F29" s="58" t="str">
        <f>IF('🔥 Pipeline'!$C5="","",'🔥 Pipeline'!F5)</f>
        <v>HP</v>
      </c>
      <c r="G29" s="58" t="str">
        <f>IF('🔥 Pipeline'!$C5="","",'🔥 Pipeline'!G5)</f>
        <v>✓</v>
      </c>
      <c r="H29" s="58" t="str">
        <f>IF('🔥 Pipeline'!$C5="","",'🔥 Pipeline'!H5)</f>
        <v>TBD</v>
      </c>
      <c r="I29" s="58" t="str">
        <f>IF('🔥 Pipeline'!$C5="","",'🔥 Pipeline'!I5)</f>
        <v>Anthem BC</v>
      </c>
      <c r="J29" s="57" t="str">
        <f>IF('🔥 Pipeline'!$C5="","",'🔥 Pipeline'!K5)</f>
        <v>Web</v>
      </c>
    </row>
    <row r="30" spans="1:10" ht="13.5" customHeight="1">
      <c r="A30" s="58">
        <f>IF('🔥 Pipeline'!$C6="","",'🔥 Pipeline'!A6)</f>
        <v>2</v>
      </c>
      <c r="B30" s="58" t="str">
        <f>IF('🔥 Pipeline'!$C6="","",'🔥 Pipeline'!B6)</f>
        <v>Amy</v>
      </c>
      <c r="C30" s="57" t="str">
        <f>IF('🔥 Pipeline'!$C6="","",'🔥 Pipeline'!C6)</f>
        <v>Nicolas Leuvrey</v>
      </c>
      <c r="D30" s="58" t="str">
        <f>IF('🔥 Pipeline'!$C6="","",'🔥 Pipeline'!D6)</f>
        <v>Prospect</v>
      </c>
      <c r="E30" s="58" t="str">
        <f>IF('🔥 Pipeline'!$C6="","",'🔥 Pipeline'!E6)</f>
        <v>DTX</v>
      </c>
      <c r="F30" s="58" t="str">
        <f>IF('🔥 Pipeline'!$C6="","",'🔥 Pipeline'!F6)</f>
        <v>HPE</v>
      </c>
      <c r="G30" s="58" t="str">
        <f>IF('🔥 Pipeline'!$C6="","",'🔥 Pipeline'!G6)</f>
        <v>✓</v>
      </c>
      <c r="H30" s="58" t="str">
        <f>IF('🔥 Pipeline'!$C6="","",'🔥 Pipeline'!H6)</f>
        <v>TBD</v>
      </c>
      <c r="I30" s="58" t="str">
        <f>IF('🔥 Pipeline'!$C6="","",'🔥 Pipeline'!I6)</f>
        <v>Private Pay</v>
      </c>
      <c r="J30" s="57" t="str">
        <f>IF('🔥 Pipeline'!$C6="","",'🔥 Pipeline'!K6)</f>
        <v>Alumni</v>
      </c>
    </row>
    <row r="31" spans="1:10" ht="13.5" customHeight="1">
      <c r="A31" s="58">
        <f>IF('🔥 Pipeline'!$C7="","",'🔥 Pipeline'!A7)</f>
        <v>3</v>
      </c>
      <c r="B31" s="58" t="str">
        <f>IF('🔥 Pipeline'!$C7="","",'🔥 Pipeline'!B7)</f>
        <v>Amy</v>
      </c>
      <c r="C31" s="57" t="str">
        <f>IF('🔥 Pipeline'!$C7="","",'🔥 Pipeline'!C7)</f>
        <v>Tara Shinde</v>
      </c>
      <c r="D31" s="58" t="str">
        <f>IF('🔥 Pipeline'!$C7="","",'🔥 Pipeline'!D7)</f>
        <v>Scheduled</v>
      </c>
      <c r="E31" s="58" t="str">
        <f>IF('🔥 Pipeline'!$C7="","",'🔥 Pipeline'!E7)</f>
        <v>DTX/RTC</v>
      </c>
      <c r="F31" s="58" t="str">
        <f>IF('🔥 Pipeline'!$C7="","",'🔥 Pipeline'!F7)</f>
        <v>HPE</v>
      </c>
      <c r="G31" s="58" t="str">
        <f>IF('🔥 Pipeline'!$C7="","",'🔥 Pipeline'!G7)</f>
        <v>✓</v>
      </c>
      <c r="H31" s="60">
        <f>IF('🔥 Pipeline'!$C7="","",'🔥 Pipeline'!H7)</f>
        <v>46192</v>
      </c>
      <c r="I31" s="58" t="str">
        <f>IF('🔥 Pipeline'!$C7="","",'🔥 Pipeline'!I7)</f>
        <v>BCBS IL</v>
      </c>
      <c r="J31" s="57" t="str">
        <f>IF('🔥 Pipeline'!$C7="","",'🔥 Pipeline'!K7)</f>
        <v>Web</v>
      </c>
    </row>
    <row r="32" spans="1:10" ht="13.5" customHeight="1">
      <c r="A32" s="58">
        <f>IF('🔥 Pipeline'!$C8="","",'🔥 Pipeline'!A8)</f>
        <v>4</v>
      </c>
      <c r="B32" s="58" t="str">
        <f>IF('🔥 Pipeline'!$C8="","",'🔥 Pipeline'!B8)</f>
        <v>Amy</v>
      </c>
      <c r="C32" s="57" t="str">
        <f>IF('🔥 Pipeline'!$C8="","",'🔥 Pipeline'!C8)</f>
        <v>Kimberly Cote</v>
      </c>
      <c r="D32" s="58" t="str">
        <f>IF('🔥 Pipeline'!$C8="","",'🔥 Pipeline'!D8)</f>
        <v>Lead</v>
      </c>
      <c r="E32" s="58" t="str">
        <f>IF('🔥 Pipeline'!$C8="","",'🔥 Pipeline'!E8)</f>
        <v>DTX/RTC</v>
      </c>
      <c r="F32" s="58" t="str">
        <f>IF('🔥 Pipeline'!$C8="","",'🔥 Pipeline'!F8)</f>
        <v>HP</v>
      </c>
      <c r="G32" s="58" t="str">
        <f>IF('🔥 Pipeline'!$C8="","",'🔥 Pipeline'!G8)</f>
        <v>✓</v>
      </c>
      <c r="H32" s="58" t="str">
        <f>IF('🔥 Pipeline'!$C8="","",'🔥 Pipeline'!H8)</f>
        <v>TBD</v>
      </c>
      <c r="I32" s="58" t="str">
        <f>IF('🔥 Pipeline'!$C8="","",'🔥 Pipeline'!I8)</f>
        <v>UMR</v>
      </c>
      <c r="J32" s="57" t="str">
        <f>IF('🔥 Pipeline'!$C8="","",'🔥 Pipeline'!K8)</f>
        <v>Web</v>
      </c>
    </row>
    <row r="33" spans="1:10" ht="13.5" customHeight="1">
      <c r="A33" s="58">
        <f>IF('🔥 Pipeline'!$C9="","",'🔥 Pipeline'!A9)</f>
        <v>5</v>
      </c>
      <c r="B33" s="58" t="str">
        <f>IF('🔥 Pipeline'!$C9="","",'🔥 Pipeline'!B9)</f>
        <v>Amy</v>
      </c>
      <c r="C33" s="57" t="str">
        <f>IF('🔥 Pipeline'!$C9="","",'🔥 Pipeline'!C9)</f>
        <v>Andrew Battley</v>
      </c>
      <c r="D33" s="58" t="str">
        <f>IF('🔥 Pipeline'!$C9="","",'🔥 Pipeline'!D9)</f>
        <v>Lead</v>
      </c>
      <c r="E33" s="58" t="str">
        <f>IF('🔥 Pipeline'!$C9="","",'🔥 Pipeline'!E9)</f>
        <v>DTX/RTC</v>
      </c>
      <c r="F33" s="58" t="str">
        <f>IF('🔥 Pipeline'!$C9="","",'🔥 Pipeline'!F9)</f>
        <v>HPE</v>
      </c>
      <c r="G33" s="58" t="str">
        <f>IF('🔥 Pipeline'!$C9="","",'🔥 Pipeline'!G9)</f>
        <v>✓</v>
      </c>
      <c r="H33" s="58" t="str">
        <f>IF('🔥 Pipeline'!$C9="","",'🔥 Pipeline'!H9)</f>
        <v>TBD</v>
      </c>
      <c r="I33" s="58" t="str">
        <f>IF('🔥 Pipeline'!$C9="","",'🔥 Pipeline'!I9)</f>
        <v>Aetna</v>
      </c>
      <c r="J33" s="57" t="str">
        <f>IF('🔥 Pipeline'!$C9="","",'🔥 Pipeline'!K9)</f>
        <v>Web</v>
      </c>
    </row>
    <row r="34" spans="1:10" ht="13.5" customHeight="1">
      <c r="A34" s="58">
        <f>IF('🔥 Pipeline'!$C10="","",'🔥 Pipeline'!A10)</f>
        <v>6</v>
      </c>
      <c r="B34" s="58" t="str">
        <f>IF('🔥 Pipeline'!$C10="","",'🔥 Pipeline'!B10)</f>
        <v>Nelson</v>
      </c>
      <c r="C34" s="57" t="str">
        <f>IF('🔥 Pipeline'!$C10="","",'🔥 Pipeline'!C10)</f>
        <v>Frederic Spieser</v>
      </c>
      <c r="D34" s="58" t="str">
        <f>IF('🔥 Pipeline'!$C10="","",'🔥 Pipeline'!D10)</f>
        <v>Lead</v>
      </c>
      <c r="E34" s="58" t="str">
        <f>IF('🔥 Pipeline'!$C10="","",'🔥 Pipeline'!E10)</f>
        <v>DTX/RTC</v>
      </c>
      <c r="F34" s="58" t="str">
        <f>IF('🔥 Pipeline'!$C10="","",'🔥 Pipeline'!F10)</f>
        <v>HP</v>
      </c>
      <c r="G34" s="58" t="str">
        <f>IF('🔥 Pipeline'!$C10="","",'🔥 Pipeline'!G10)</f>
        <v>✓</v>
      </c>
      <c r="H34" s="58" t="str">
        <f>IF('🔥 Pipeline'!$C10="","",'🔥 Pipeline'!H10)</f>
        <v>TBD</v>
      </c>
      <c r="I34" s="58" t="str">
        <f>IF('🔥 Pipeline'!$C10="","",'🔥 Pipeline'!I10)</f>
        <v>UHC</v>
      </c>
      <c r="J34" s="57" t="str">
        <f>IF('🔥 Pipeline'!$C10="","",'🔥 Pipeline'!K10)</f>
        <v>Web</v>
      </c>
    </row>
    <row r="35" spans="1:10" ht="13.5" customHeight="1">
      <c r="A35" s="58">
        <f>IF('🔥 Pipeline'!$C11="","",'🔥 Pipeline'!A11)</f>
        <v>7</v>
      </c>
      <c r="B35" s="58" t="str">
        <f>IF('🔥 Pipeline'!$C11="","",'🔥 Pipeline'!B11)</f>
        <v>Nelson</v>
      </c>
      <c r="C35" s="57" t="str">
        <f>IF('🔥 Pipeline'!$C11="","",'🔥 Pipeline'!C11)</f>
        <v>Michael Cardenas</v>
      </c>
      <c r="D35" s="58" t="str">
        <f>IF('🔥 Pipeline'!$C11="","",'🔥 Pipeline'!D11)</f>
        <v>Prospect</v>
      </c>
      <c r="E35" s="58" t="str">
        <f>IF('🔥 Pipeline'!$C11="","",'🔥 Pipeline'!E11)</f>
        <v>DTX/RTC</v>
      </c>
      <c r="F35" s="58" t="str">
        <f>IF('🔥 Pipeline'!$C11="","",'🔥 Pipeline'!F11)</f>
        <v>TBD</v>
      </c>
      <c r="G35" s="58" t="str">
        <f>IF('🔥 Pipeline'!$C11="","",'🔥 Pipeline'!G11)</f>
        <v>✓</v>
      </c>
      <c r="H35" s="58" t="str">
        <f>IF('🔥 Pipeline'!$C11="","",'🔥 Pipeline'!H11)</f>
        <v>TBD</v>
      </c>
      <c r="I35" s="58" t="str">
        <f>IF('🔥 Pipeline'!$C11="","",'🔥 Pipeline'!I11)</f>
        <v>UHC</v>
      </c>
      <c r="J35" s="57" t="str">
        <f>IF('🔥 Pipeline'!$C11="","",'🔥 Pipeline'!K11)</f>
        <v>Web</v>
      </c>
    </row>
    <row r="36" spans="1:10" ht="13.5" customHeight="1">
      <c r="A36" s="58">
        <f>IF('🔥 Pipeline'!$C12="","",'🔥 Pipeline'!A12)</f>
        <v>8</v>
      </c>
      <c r="B36" s="58" t="str">
        <f>IF('🔥 Pipeline'!$C12="","",'🔥 Pipeline'!B12)</f>
        <v>Nelson</v>
      </c>
      <c r="C36" s="57" t="str">
        <f>IF('🔥 Pipeline'!$C12="","",'🔥 Pipeline'!C12)</f>
        <v>Holly Webster</v>
      </c>
      <c r="D36" s="58" t="str">
        <f>IF('🔥 Pipeline'!$C12="","",'🔥 Pipeline'!D12)</f>
        <v>Prospect</v>
      </c>
      <c r="E36" s="58" t="str">
        <f>IF('🔥 Pipeline'!$C12="","",'🔥 Pipeline'!E12)</f>
        <v>DTX/RTC</v>
      </c>
      <c r="F36" s="58" t="str">
        <f>IF('🔥 Pipeline'!$C12="","",'🔥 Pipeline'!F12)</f>
        <v>TBD</v>
      </c>
      <c r="G36" s="58" t="str">
        <f>IF('🔥 Pipeline'!$C12="","",'🔥 Pipeline'!G12)</f>
        <v>✓</v>
      </c>
      <c r="H36" s="60">
        <f>IF('🔥 Pipeline'!$C12="","",'🔥 Pipeline'!H12)</f>
        <v>46191</v>
      </c>
      <c r="I36" s="58" t="str">
        <f>IF('🔥 Pipeline'!$C12="","",'🔥 Pipeline'!I12)</f>
        <v>Aetna</v>
      </c>
      <c r="J36" s="57" t="str">
        <f>IF('🔥 Pipeline'!$C12="","",'🔥 Pipeline'!K12)</f>
        <v>Web</v>
      </c>
    </row>
    <row r="37" spans="1:10" ht="13.5" customHeight="1">
      <c r="A37" s="58">
        <f>IF('🔥 Pipeline'!$C13="","",'🔥 Pipeline'!A13)</f>
        <v>9</v>
      </c>
      <c r="B37" s="58" t="str">
        <f>IF('🔥 Pipeline'!$C13="","",'🔥 Pipeline'!B13)</f>
        <v>Matthew</v>
      </c>
      <c r="C37" s="57" t="str">
        <f>IF('🔥 Pipeline'!$C13="","",'🔥 Pipeline'!C13)</f>
        <v xml:space="preserve">Samuel Lieberman </v>
      </c>
      <c r="D37" s="58" t="str">
        <f>IF('🔥 Pipeline'!$C13="","",'🔥 Pipeline'!D13)</f>
        <v>Lead</v>
      </c>
      <c r="E37" s="58" t="str">
        <f>IF('🔥 Pipeline'!$C13="","",'🔥 Pipeline'!E13)</f>
        <v>DTX/RTC</v>
      </c>
      <c r="F37" s="58" t="str">
        <f>IF('🔥 Pipeline'!$C13="","",'🔥 Pipeline'!F13)</f>
        <v>TBD</v>
      </c>
      <c r="G37" s="58" t="str">
        <f>IF('🔥 Pipeline'!$C13="","",'🔥 Pipeline'!G13)</f>
        <v>✓</v>
      </c>
      <c r="H37" s="58" t="str">
        <f>IF('🔥 Pipeline'!$C13="","",'🔥 Pipeline'!H13)</f>
        <v>TBD</v>
      </c>
      <c r="I37" s="58" t="str">
        <f>IF('🔥 Pipeline'!$C13="","",'🔥 Pipeline'!I13)</f>
        <v>Aetna</v>
      </c>
      <c r="J37" s="57" t="str">
        <f>IF('🔥 Pipeline'!$C13="","",'🔥 Pipeline'!K13)</f>
        <v>Web</v>
      </c>
    </row>
    <row r="38" spans="1:10" ht="13.5" customHeight="1">
      <c r="A38" s="58" t="str">
        <f>IF('🔥 Pipeline'!$C14="","",'🔥 Pipeline'!A14)</f>
        <v/>
      </c>
      <c r="B38" s="58" t="str">
        <f>IF('🔥 Pipeline'!$C14="","",'🔥 Pipeline'!B14)</f>
        <v/>
      </c>
      <c r="C38" s="57" t="str">
        <f>IF('🔥 Pipeline'!$C14="","",'🔥 Pipeline'!C14)</f>
        <v/>
      </c>
      <c r="D38" s="58" t="str">
        <f>IF('🔥 Pipeline'!$C14="","",'🔥 Pipeline'!D14)</f>
        <v/>
      </c>
      <c r="E38" s="58" t="str">
        <f>IF('🔥 Pipeline'!$C14="","",'🔥 Pipeline'!E14)</f>
        <v/>
      </c>
      <c r="F38" s="58" t="str">
        <f>IF('🔥 Pipeline'!$C14="","",'🔥 Pipeline'!F14)</f>
        <v/>
      </c>
      <c r="G38" s="58" t="str">
        <f>IF('🔥 Pipeline'!$C14="","",'🔥 Pipeline'!G14)</f>
        <v/>
      </c>
      <c r="H38" s="58" t="str">
        <f>IF('🔥 Pipeline'!$C14="","",'🔥 Pipeline'!H14)</f>
        <v/>
      </c>
      <c r="I38" s="58" t="str">
        <f>IF('🔥 Pipeline'!$C14="","",'🔥 Pipeline'!I14)</f>
        <v/>
      </c>
      <c r="J38" s="57" t="str">
        <f>IF('🔥 Pipeline'!$C14="","",'🔥 Pipeline'!K14)</f>
        <v/>
      </c>
    </row>
    <row r="39" spans="1:10" ht="13.5" customHeight="1">
      <c r="A39" s="58" t="str">
        <f>IF('🔥 Pipeline'!$C15="","",'🔥 Pipeline'!A15)</f>
        <v/>
      </c>
      <c r="B39" s="58" t="str">
        <f>IF('🔥 Pipeline'!$C15="","",'🔥 Pipeline'!B15)</f>
        <v/>
      </c>
      <c r="C39" s="57" t="str">
        <f>IF('🔥 Pipeline'!$C15="","",'🔥 Pipeline'!C15)</f>
        <v/>
      </c>
      <c r="D39" s="58" t="str">
        <f>IF('🔥 Pipeline'!$C15="","",'🔥 Pipeline'!D15)</f>
        <v/>
      </c>
      <c r="E39" s="58" t="str">
        <f>IF('🔥 Pipeline'!$C15="","",'🔥 Pipeline'!E15)</f>
        <v/>
      </c>
      <c r="F39" s="58" t="str">
        <f>IF('🔥 Pipeline'!$C15="","",'🔥 Pipeline'!F15)</f>
        <v/>
      </c>
      <c r="G39" s="58" t="str">
        <f>IF('🔥 Pipeline'!$C15="","",'🔥 Pipeline'!G15)</f>
        <v/>
      </c>
      <c r="H39" s="58" t="str">
        <f>IF('🔥 Pipeline'!$C15="","",'🔥 Pipeline'!H15)</f>
        <v/>
      </c>
      <c r="I39" s="58" t="str">
        <f>IF('🔥 Pipeline'!$C15="","",'🔥 Pipeline'!I15)</f>
        <v/>
      </c>
      <c r="J39" s="57" t="str">
        <f>IF('🔥 Pipeline'!$C15="","",'🔥 Pipeline'!K15)</f>
        <v/>
      </c>
    </row>
    <row r="40" spans="1:10" ht="13.5" customHeight="1">
      <c r="A40" s="58">
        <f>IF('🔥 Pipeline'!$C16="","",'🔥 Pipeline'!A16)</f>
        <v>12</v>
      </c>
      <c r="B40" s="58" t="str">
        <f>IF('🔥 Pipeline'!$C16="","",'🔥 Pipeline'!B16)</f>
        <v>Ahbra</v>
      </c>
      <c r="C40" s="57" t="str">
        <f>IF('🔥 Pipeline'!$C16="","",'🔥 Pipeline'!C16)</f>
        <v>Allison Warren</v>
      </c>
      <c r="D40" s="58" t="str">
        <f>IF('🔥 Pipeline'!$C16="","",'🔥 Pipeline'!D16)</f>
        <v>Prospect</v>
      </c>
      <c r="E40" s="58" t="str">
        <f>IF('🔥 Pipeline'!$C16="","",'🔥 Pipeline'!E16)</f>
        <v>DTX/RTC</v>
      </c>
      <c r="F40" s="58" t="str">
        <f>IF('🔥 Pipeline'!$C16="","",'🔥 Pipeline'!F16)</f>
        <v>HP</v>
      </c>
      <c r="G40" s="58" t="str">
        <f>IF('🔥 Pipeline'!$C16="","",'🔥 Pipeline'!G16)</f>
        <v>✓</v>
      </c>
      <c r="H40" s="58" t="str">
        <f>IF('🔥 Pipeline'!$C16="","",'🔥 Pipeline'!H16)</f>
        <v>TBD</v>
      </c>
      <c r="I40" s="58" t="str">
        <f>IF('🔥 Pipeline'!$C16="","",'🔥 Pipeline'!I16)</f>
        <v>UHC</v>
      </c>
      <c r="J40" s="57" t="str">
        <f>IF('🔥 Pipeline'!$C16="","",'🔥 Pipeline'!K16)</f>
        <v>Professional Referral</v>
      </c>
    </row>
    <row r="41" spans="1:10" ht="15" hidden="1" customHeight="1"/>
    <row r="42" spans="1:10" ht="15" hidden="1" customHeight="1"/>
    <row r="43" spans="1:10" ht="15" hidden="1" customHeight="1"/>
    <row r="44" spans="1:10" ht="15" hidden="1" customHeight="1"/>
    <row r="45" spans="1:10" ht="15" hidden="1" customHeight="1"/>
    <row r="46" spans="1:10" ht="15" hidden="1" customHeight="1"/>
    <row r="47" spans="1:10" ht="15" hidden="1" customHeight="1"/>
    <row r="48" spans="1:10"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sheetData>
  <mergeCells count="6">
    <mergeCell ref="A27:J27"/>
    <mergeCell ref="A1:J1"/>
    <mergeCell ref="A2:J2"/>
    <mergeCell ref="A4:J4"/>
    <mergeCell ref="A8:J8"/>
    <mergeCell ref="A19:J19"/>
  </mergeCells>
  <printOptions horizontalCentered="1"/>
  <pageMargins left="0.3" right="0.3" top="0.4" bottom="0.4"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860B"/>
  </sheetPr>
  <dimension ref="A1:Q53"/>
  <sheetViews>
    <sheetView showGridLines="0" zoomScale="140" zoomScaleNormal="140" workbookViewId="0">
      <pane ySplit="3" topLeftCell="A4" activePane="bottomLeft" state="frozen"/>
      <selection pane="bottomLeft" activeCell="H13" sqref="H13"/>
    </sheetView>
  </sheetViews>
  <sheetFormatPr defaultColWidth="0" defaultRowHeight="15" zeroHeight="1"/>
  <cols>
    <col min="1" max="1" width="22" customWidth="1"/>
    <col min="2" max="2" width="13"/>
    <col min="3" max="3" width="11" customWidth="1"/>
    <col min="4" max="4" width="12" customWidth="1"/>
    <col min="5" max="6" width="11" customWidth="1"/>
    <col min="7" max="7" width="10" customWidth="1"/>
    <col min="8" max="8" width="17" customWidth="1"/>
    <col min="9" max="9" width="18" customWidth="1"/>
    <col min="10" max="10" width="10" customWidth="1"/>
    <col min="11" max="13" width="11" customWidth="1"/>
    <col min="14" max="15" width="13"/>
    <col min="16" max="16" width="12" customWidth="1"/>
    <col min="17" max="16384" width="13" hidden="1"/>
  </cols>
  <sheetData>
    <row r="1" spans="1:17" ht="25.5" customHeight="1">
      <c r="A1" s="289" t="s">
        <v>74</v>
      </c>
      <c r="B1" s="289"/>
      <c r="C1" s="289"/>
      <c r="D1" s="289"/>
      <c r="E1" s="289"/>
      <c r="F1" s="289"/>
      <c r="G1" s="289"/>
      <c r="H1" s="289"/>
      <c r="I1" s="289"/>
      <c r="J1" s="289"/>
      <c r="K1" s="289"/>
      <c r="L1" s="289"/>
      <c r="M1" s="289"/>
      <c r="N1" s="289"/>
      <c r="O1" s="289"/>
      <c r="P1" s="289"/>
    </row>
    <row r="2" spans="1:17" ht="21.75" customHeight="1">
      <c r="A2" s="290" t="s">
        <v>75</v>
      </c>
      <c r="B2" s="290"/>
      <c r="C2" s="290"/>
      <c r="D2" s="290"/>
      <c r="E2" s="290"/>
      <c r="F2" s="290"/>
      <c r="G2" s="290"/>
      <c r="H2" s="290"/>
      <c r="I2" s="290"/>
      <c r="J2" s="290"/>
      <c r="K2" s="290"/>
      <c r="L2" s="290"/>
      <c r="M2" s="290"/>
      <c r="N2" s="290"/>
      <c r="O2" s="290"/>
      <c r="P2" s="290"/>
    </row>
    <row r="3" spans="1:17" ht="30" customHeight="1">
      <c r="A3" s="280" t="s">
        <v>76</v>
      </c>
      <c r="B3" s="280" t="s">
        <v>77</v>
      </c>
      <c r="C3" s="280" t="s">
        <v>78</v>
      </c>
      <c r="D3" s="280" t="s">
        <v>79</v>
      </c>
      <c r="E3" s="280" t="s">
        <v>80</v>
      </c>
      <c r="F3" s="280" t="s">
        <v>81</v>
      </c>
      <c r="G3" s="280" t="s">
        <v>82</v>
      </c>
      <c r="H3" s="280" t="s">
        <v>83</v>
      </c>
      <c r="I3" s="280" t="s">
        <v>84</v>
      </c>
      <c r="J3" s="280" t="s">
        <v>85</v>
      </c>
      <c r="K3" s="280" t="s">
        <v>86</v>
      </c>
      <c r="L3" s="280" t="s">
        <v>87</v>
      </c>
      <c r="M3" s="280" t="s">
        <v>88</v>
      </c>
      <c r="N3" s="280" t="s">
        <v>89</v>
      </c>
      <c r="O3" s="280" t="s">
        <v>90</v>
      </c>
      <c r="P3" s="280" t="s">
        <v>91</v>
      </c>
    </row>
    <row r="4" spans="1:17" ht="19.5" customHeight="1">
      <c r="A4" s="291" t="s">
        <v>92</v>
      </c>
      <c r="B4" s="291"/>
      <c r="C4" s="291"/>
      <c r="D4" s="291"/>
      <c r="E4" s="291"/>
      <c r="F4" s="291"/>
      <c r="G4" s="291"/>
      <c r="H4" s="291"/>
      <c r="I4" s="291"/>
      <c r="J4" s="291"/>
      <c r="K4" s="291"/>
      <c r="L4" s="291"/>
      <c r="M4" s="291"/>
      <c r="N4" s="291"/>
      <c r="O4" s="291"/>
      <c r="P4" s="291"/>
      <c r="Q4" s="62" t="s">
        <v>93</v>
      </c>
    </row>
    <row r="5" spans="1:17" ht="15.75" customHeight="1">
      <c r="A5" s="63"/>
      <c r="B5" s="64" t="s">
        <v>94</v>
      </c>
      <c r="C5" s="64"/>
      <c r="D5" s="65"/>
      <c r="E5" s="64"/>
      <c r="F5" s="64"/>
      <c r="G5" s="64"/>
      <c r="H5" s="63"/>
      <c r="I5" s="63"/>
      <c r="J5" s="63"/>
      <c r="K5" s="64"/>
      <c r="L5" s="64"/>
      <c r="M5" s="64"/>
      <c r="N5" s="63"/>
      <c r="O5" s="66" t="str">
        <f t="shared" ref="O5:O18" si="0">IF($A5="","",IF($N5&lt;&gt;"",$N5,IF(AND($D5&lt;&gt;"",$G5&lt;&gt;""),$D5+$G5,"")))</f>
        <v/>
      </c>
      <c r="P5" s="67" t="str">
        <f t="shared" ref="P5:P18" ca="1" si="1">IF(O5="","",O5-TODAY())</f>
        <v/>
      </c>
      <c r="Q5" s="68" t="str">
        <f>IF(OR($A5="",$D5=""),"",IF((COUNTIFS('📋 May 2026'!$B$5:$B$60,$A5,'📋 May 2026'!$C$5:$C$60,"&lt;"&amp;$D5)+COUNTIFS('📋 Jun 2026'!$B$5:$B$60,$A5,'📋 Jun 2026'!$C$5:$C$60,"&lt;"&amp;$D5)+COUNTIFS('📋 Jul 2026'!$B$5:$B$60,$A5,'📋 Jul 2026'!$C$5:$C$60,"&lt;"&amp;$D5)+COUNTIFS('📋 Aug 2026'!$B$5:$B$60,$A5,'📋 Aug 2026'!$C$5:$C$60,"&lt;"&amp;$D5)+COUNTIFS('📋 Sep 2026'!$B$5:$B$60,$A5,'📋 Sep 2026'!$C$5:$C$60,"&lt;"&amp;$D5)+COUNTIFS('📋 Oct 2026'!$B$5:$B$60,$A5,'📋 Oct 2026'!$C$5:$C$60,"&lt;"&amp;$D5)+COUNTIFS('📋 Nov 2026'!$B$5:$B$60,$A5,'📋 Nov 2026'!$C$5:$C$60,"&lt;"&amp;$D5)+COUNTIFS('📋 Dec 2026'!$B$5:$B$60,$A5,'📋 Dec 2026'!$C$5:$C$60,"&lt;"&amp;$D5))+(COUNTIFS('📋 May 2026'!$B$5:$B$60,$A5,'📋 May 2026'!$AB$5:$AB$60,"Alumni")+COUNTIFS('📋 Jun 2026'!$B$5:$B$60,$A5,'📋 Jun 2026'!$AB$5:$AB$60,"Alumni")+COUNTIFS('📋 Jul 2026'!$B$5:$B$60,$A5,'📋 Jul 2026'!$AB$5:$AB$60,"Alumni")+COUNTIFS('📋 Aug 2026'!$B$5:$B$60,$A5,'📋 Aug 2026'!$AB$5:$AB$60,"Alumni")+COUNTIFS('📋 Sep 2026'!$B$5:$B$60,$A5,'📋 Sep 2026'!$AB$5:$AB$60,"Alumni")+COUNTIFS('📋 Oct 2026'!$B$5:$B$60,$A5,'📋 Oct 2026'!$AB$5:$AB$60,"Alumni")+COUNTIFS('📋 Nov 2026'!$B$5:$B$60,$A5,'📋 Nov 2026'!$AB$5:$AB$60,"Alumni")+COUNTIFS('📋 Dec 2026'!$B$5:$B$60,$A5,'📋 Dec 2026'!$AB$5:$AB$60,"Alumni"))&gt;=1,"Alumni","New"))</f>
        <v/>
      </c>
    </row>
    <row r="6" spans="1:17" ht="15.75" customHeight="1">
      <c r="A6" s="63"/>
      <c r="B6" s="64" t="s">
        <v>95</v>
      </c>
      <c r="C6" s="64"/>
      <c r="D6" s="65"/>
      <c r="E6" s="64"/>
      <c r="F6" s="64"/>
      <c r="G6" s="64"/>
      <c r="H6" s="63"/>
      <c r="I6" s="63"/>
      <c r="J6" s="63"/>
      <c r="K6" s="64"/>
      <c r="L6" s="64"/>
      <c r="M6" s="64"/>
      <c r="N6" s="69"/>
      <c r="O6" s="66" t="str">
        <f t="shared" si="0"/>
        <v/>
      </c>
      <c r="P6" s="67" t="str">
        <f t="shared" ca="1" si="1"/>
        <v/>
      </c>
      <c r="Q6" s="68" t="str">
        <f>IF(OR($A6="",$D6=""),"",IF((COUNTIFS('📋 May 2026'!$B$5:$B$60,$A6,'📋 May 2026'!$C$5:$C$60,"&lt;"&amp;$D6)+COUNTIFS('📋 Jun 2026'!$B$5:$B$60,$A6,'📋 Jun 2026'!$C$5:$C$60,"&lt;"&amp;$D6)+COUNTIFS('📋 Jul 2026'!$B$5:$B$60,$A6,'📋 Jul 2026'!$C$5:$C$60,"&lt;"&amp;$D6)+COUNTIFS('📋 Aug 2026'!$B$5:$B$60,$A6,'📋 Aug 2026'!$C$5:$C$60,"&lt;"&amp;$D6)+COUNTIFS('📋 Sep 2026'!$B$5:$B$60,$A6,'📋 Sep 2026'!$C$5:$C$60,"&lt;"&amp;$D6)+COUNTIFS('📋 Oct 2026'!$B$5:$B$60,$A6,'📋 Oct 2026'!$C$5:$C$60,"&lt;"&amp;$D6)+COUNTIFS('📋 Nov 2026'!$B$5:$B$60,$A6,'📋 Nov 2026'!$C$5:$C$60,"&lt;"&amp;$D6)+COUNTIFS('📋 Dec 2026'!$B$5:$B$60,$A6,'📋 Dec 2026'!$C$5:$C$60,"&lt;"&amp;$D6))+(COUNTIFS('📋 May 2026'!$B$5:$B$60,$A6,'📋 May 2026'!$AB$5:$AB$60,"Alumni")+COUNTIFS('📋 Jun 2026'!$B$5:$B$60,$A6,'📋 Jun 2026'!$AB$5:$AB$60,"Alumni")+COUNTIFS('📋 Jul 2026'!$B$5:$B$60,$A6,'📋 Jul 2026'!$AB$5:$AB$60,"Alumni")+COUNTIFS('📋 Aug 2026'!$B$5:$B$60,$A6,'📋 Aug 2026'!$AB$5:$AB$60,"Alumni")+COUNTIFS('📋 Sep 2026'!$B$5:$B$60,$A6,'📋 Sep 2026'!$AB$5:$AB$60,"Alumni")+COUNTIFS('📋 Oct 2026'!$B$5:$B$60,$A6,'📋 Oct 2026'!$AB$5:$AB$60,"Alumni")+COUNTIFS('📋 Nov 2026'!$B$5:$B$60,$A6,'📋 Nov 2026'!$AB$5:$AB$60,"Alumni")+COUNTIFS('📋 Dec 2026'!$B$5:$B$60,$A6,'📋 Dec 2026'!$AB$5:$AB$60,"Alumni"))&gt;=1,"Alumni","New"))</f>
        <v/>
      </c>
    </row>
    <row r="7" spans="1:17" ht="15.75" customHeight="1">
      <c r="A7" s="63" t="s">
        <v>96</v>
      </c>
      <c r="B7" s="64" t="s">
        <v>97</v>
      </c>
      <c r="C7" s="64" t="s">
        <v>36</v>
      </c>
      <c r="D7" s="65">
        <v>46172</v>
      </c>
      <c r="E7" s="64" t="s">
        <v>98</v>
      </c>
      <c r="F7" s="64" t="s">
        <v>98</v>
      </c>
      <c r="G7" s="64">
        <v>30</v>
      </c>
      <c r="H7" s="63" t="s">
        <v>99</v>
      </c>
      <c r="I7" s="63" t="s">
        <v>100</v>
      </c>
      <c r="J7" s="63" t="s">
        <v>101</v>
      </c>
      <c r="K7" s="64" t="s">
        <v>102</v>
      </c>
      <c r="L7" s="64"/>
      <c r="M7" s="64"/>
      <c r="N7" s="69">
        <v>46201</v>
      </c>
      <c r="O7" s="66">
        <f t="shared" si="0"/>
        <v>46201</v>
      </c>
      <c r="P7" s="67">
        <f t="shared" ca="1" si="1"/>
        <v>11</v>
      </c>
      <c r="Q7" s="68" t="str">
        <f>IF(OR($A7="",$D7=""),"",IF((COUNTIFS('📋 May 2026'!$B$5:$B$60,$A7,'📋 May 2026'!$C$5:$C$60,"&lt;"&amp;$D7)+COUNTIFS('📋 Jun 2026'!$B$5:$B$60,$A7,'📋 Jun 2026'!$C$5:$C$60,"&lt;"&amp;$D7)+COUNTIFS('📋 Jul 2026'!$B$5:$B$60,$A7,'📋 Jul 2026'!$C$5:$C$60,"&lt;"&amp;$D7)+COUNTIFS('📋 Aug 2026'!$B$5:$B$60,$A7,'📋 Aug 2026'!$C$5:$C$60,"&lt;"&amp;$D7)+COUNTIFS('📋 Sep 2026'!$B$5:$B$60,$A7,'📋 Sep 2026'!$C$5:$C$60,"&lt;"&amp;$D7)+COUNTIFS('📋 Oct 2026'!$B$5:$B$60,$A7,'📋 Oct 2026'!$C$5:$C$60,"&lt;"&amp;$D7)+COUNTIFS('📋 Nov 2026'!$B$5:$B$60,$A7,'📋 Nov 2026'!$C$5:$C$60,"&lt;"&amp;$D7)+COUNTIFS('📋 Dec 2026'!$B$5:$B$60,$A7,'📋 Dec 2026'!$C$5:$C$60,"&lt;"&amp;$D7))+(COUNTIFS('📋 May 2026'!$B$5:$B$60,$A7,'📋 May 2026'!$AB$5:$AB$60,"Alumni")+COUNTIFS('📋 Jun 2026'!$B$5:$B$60,$A7,'📋 Jun 2026'!$AB$5:$AB$60,"Alumni")+COUNTIFS('📋 Jul 2026'!$B$5:$B$60,$A7,'📋 Jul 2026'!$AB$5:$AB$60,"Alumni")+COUNTIFS('📋 Aug 2026'!$B$5:$B$60,$A7,'📋 Aug 2026'!$AB$5:$AB$60,"Alumni")+COUNTIFS('📋 Sep 2026'!$B$5:$B$60,$A7,'📋 Sep 2026'!$AB$5:$AB$60,"Alumni")+COUNTIFS('📋 Oct 2026'!$B$5:$B$60,$A7,'📋 Oct 2026'!$AB$5:$AB$60,"Alumni")+COUNTIFS('📋 Nov 2026'!$B$5:$B$60,$A7,'📋 Nov 2026'!$AB$5:$AB$60,"Alumni")+COUNTIFS('📋 Dec 2026'!$B$5:$B$60,$A7,'📋 Dec 2026'!$AB$5:$AB$60,"Alumni"))&gt;=1,"Alumni","New"))</f>
        <v>New</v>
      </c>
    </row>
    <row r="8" spans="1:17" ht="15.75" customHeight="1">
      <c r="A8" s="63" t="s">
        <v>103</v>
      </c>
      <c r="B8" s="64" t="s">
        <v>104</v>
      </c>
      <c r="C8" s="64" t="s">
        <v>36</v>
      </c>
      <c r="D8" s="65">
        <v>46176</v>
      </c>
      <c r="E8" s="64" t="s">
        <v>98</v>
      </c>
      <c r="F8" s="64" t="s">
        <v>98</v>
      </c>
      <c r="G8" s="64">
        <v>30</v>
      </c>
      <c r="H8" s="63" t="s">
        <v>105</v>
      </c>
      <c r="I8" s="63" t="s">
        <v>106</v>
      </c>
      <c r="J8" s="63" t="s">
        <v>107</v>
      </c>
      <c r="K8" s="64" t="s">
        <v>102</v>
      </c>
      <c r="L8" s="64"/>
      <c r="M8" s="64"/>
      <c r="N8" s="69">
        <v>46205</v>
      </c>
      <c r="O8" s="66">
        <f t="shared" si="0"/>
        <v>46205</v>
      </c>
      <c r="P8" s="67">
        <f t="shared" ca="1" si="1"/>
        <v>15</v>
      </c>
      <c r="Q8" s="68" t="str">
        <f>IF(OR($A8="",$D8=""),"",IF((COUNTIFS('📋 May 2026'!$B$5:$B$60,$A8,'📋 May 2026'!$C$5:$C$60,"&lt;"&amp;$D8)+COUNTIFS('📋 Jun 2026'!$B$5:$B$60,$A8,'📋 Jun 2026'!$C$5:$C$60,"&lt;"&amp;$D8)+COUNTIFS('📋 Jul 2026'!$B$5:$B$60,$A8,'📋 Jul 2026'!$C$5:$C$60,"&lt;"&amp;$D8)+COUNTIFS('📋 Aug 2026'!$B$5:$B$60,$A8,'📋 Aug 2026'!$C$5:$C$60,"&lt;"&amp;$D8)+COUNTIFS('📋 Sep 2026'!$B$5:$B$60,$A8,'📋 Sep 2026'!$C$5:$C$60,"&lt;"&amp;$D8)+COUNTIFS('📋 Oct 2026'!$B$5:$B$60,$A8,'📋 Oct 2026'!$C$5:$C$60,"&lt;"&amp;$D8)+COUNTIFS('📋 Nov 2026'!$B$5:$B$60,$A8,'📋 Nov 2026'!$C$5:$C$60,"&lt;"&amp;$D8)+COUNTIFS('📋 Dec 2026'!$B$5:$B$60,$A8,'📋 Dec 2026'!$C$5:$C$60,"&lt;"&amp;$D8))+(COUNTIFS('📋 May 2026'!$B$5:$B$60,$A8,'📋 May 2026'!$AB$5:$AB$60,"Alumni")+COUNTIFS('📋 Jun 2026'!$B$5:$B$60,$A8,'📋 Jun 2026'!$AB$5:$AB$60,"Alumni")+COUNTIFS('📋 Jul 2026'!$B$5:$B$60,$A8,'📋 Jul 2026'!$AB$5:$AB$60,"Alumni")+COUNTIFS('📋 Aug 2026'!$B$5:$B$60,$A8,'📋 Aug 2026'!$AB$5:$AB$60,"Alumni")+COUNTIFS('📋 Sep 2026'!$B$5:$B$60,$A8,'📋 Sep 2026'!$AB$5:$AB$60,"Alumni")+COUNTIFS('📋 Oct 2026'!$B$5:$B$60,$A8,'📋 Oct 2026'!$AB$5:$AB$60,"Alumni")+COUNTIFS('📋 Nov 2026'!$B$5:$B$60,$A8,'📋 Nov 2026'!$AB$5:$AB$60,"Alumni")+COUNTIFS('📋 Dec 2026'!$B$5:$B$60,$A8,'📋 Dec 2026'!$AB$5:$AB$60,"Alumni"))&gt;=1,"Alumni","New"))</f>
        <v>Alumni</v>
      </c>
    </row>
    <row r="9" spans="1:17" ht="15.75" customHeight="1">
      <c r="A9" s="63"/>
      <c r="B9" s="64" t="s">
        <v>108</v>
      </c>
      <c r="C9" s="64"/>
      <c r="D9" s="65"/>
      <c r="E9" s="64"/>
      <c r="F9" s="64"/>
      <c r="G9" s="64"/>
      <c r="H9" s="63"/>
      <c r="I9" s="63"/>
      <c r="J9" s="63"/>
      <c r="K9" s="64"/>
      <c r="L9" s="64"/>
      <c r="M9" s="64"/>
      <c r="N9" s="69"/>
      <c r="O9" s="66" t="str">
        <f t="shared" si="0"/>
        <v/>
      </c>
      <c r="P9" s="67" t="str">
        <f t="shared" ca="1" si="1"/>
        <v/>
      </c>
      <c r="Q9" s="68" t="str">
        <f>IF(OR($A9="",$D9=""),"",IF((COUNTIFS('📋 May 2026'!$B$5:$B$60,$A9,'📋 May 2026'!$C$5:$C$60,"&lt;"&amp;$D9)+COUNTIFS('📋 Jun 2026'!$B$5:$B$60,$A9,'📋 Jun 2026'!$C$5:$C$60,"&lt;"&amp;$D9)+COUNTIFS('📋 Jul 2026'!$B$5:$B$60,$A9,'📋 Jul 2026'!$C$5:$C$60,"&lt;"&amp;$D9)+COUNTIFS('📋 Aug 2026'!$B$5:$B$60,$A9,'📋 Aug 2026'!$C$5:$C$60,"&lt;"&amp;$D9)+COUNTIFS('📋 Sep 2026'!$B$5:$B$60,$A9,'📋 Sep 2026'!$C$5:$C$60,"&lt;"&amp;$D9)+COUNTIFS('📋 Oct 2026'!$B$5:$B$60,$A9,'📋 Oct 2026'!$C$5:$C$60,"&lt;"&amp;$D9)+COUNTIFS('📋 Nov 2026'!$B$5:$B$60,$A9,'📋 Nov 2026'!$C$5:$C$60,"&lt;"&amp;$D9)+COUNTIFS('📋 Dec 2026'!$B$5:$B$60,$A9,'📋 Dec 2026'!$C$5:$C$60,"&lt;"&amp;$D9))+(COUNTIFS('📋 May 2026'!$B$5:$B$60,$A9,'📋 May 2026'!$AB$5:$AB$60,"Alumni")+COUNTIFS('📋 Jun 2026'!$B$5:$B$60,$A9,'📋 Jun 2026'!$AB$5:$AB$60,"Alumni")+COUNTIFS('📋 Jul 2026'!$B$5:$B$60,$A9,'📋 Jul 2026'!$AB$5:$AB$60,"Alumni")+COUNTIFS('📋 Aug 2026'!$B$5:$B$60,$A9,'📋 Aug 2026'!$AB$5:$AB$60,"Alumni")+COUNTIFS('📋 Sep 2026'!$B$5:$B$60,$A9,'📋 Sep 2026'!$AB$5:$AB$60,"Alumni")+COUNTIFS('📋 Oct 2026'!$B$5:$B$60,$A9,'📋 Oct 2026'!$AB$5:$AB$60,"Alumni")+COUNTIFS('📋 Nov 2026'!$B$5:$B$60,$A9,'📋 Nov 2026'!$AB$5:$AB$60,"Alumni")+COUNTIFS('📋 Dec 2026'!$B$5:$B$60,$A9,'📋 Dec 2026'!$AB$5:$AB$60,"Alumni"))&gt;=1,"Alumni","New"))</f>
        <v/>
      </c>
    </row>
    <row r="10" spans="1:17" ht="15.75" customHeight="1">
      <c r="A10" s="63" t="s">
        <v>109</v>
      </c>
      <c r="B10" s="64" t="s">
        <v>110</v>
      </c>
      <c r="C10" s="64" t="s">
        <v>36</v>
      </c>
      <c r="D10" s="65">
        <v>46183</v>
      </c>
      <c r="E10" s="64" t="s">
        <v>111</v>
      </c>
      <c r="F10" s="64" t="s">
        <v>111</v>
      </c>
      <c r="G10" s="64">
        <v>10</v>
      </c>
      <c r="H10" s="63" t="s">
        <v>112</v>
      </c>
      <c r="I10" s="63" t="s">
        <v>106</v>
      </c>
      <c r="J10" s="63" t="s">
        <v>101</v>
      </c>
      <c r="K10" s="64" t="s">
        <v>113</v>
      </c>
      <c r="L10" s="64"/>
      <c r="M10" s="64"/>
      <c r="N10" s="63"/>
      <c r="O10" s="66">
        <f t="shared" si="0"/>
        <v>46193</v>
      </c>
      <c r="P10" s="67">
        <f t="shared" ca="1" si="1"/>
        <v>3</v>
      </c>
      <c r="Q10" s="68" t="str">
        <f>IF(OR($A10="",$D10=""),"",IF((COUNTIFS('📋 May 2026'!$B$5:$B$60,$A10,'📋 May 2026'!$C$5:$C$60,"&lt;"&amp;$D10)+COUNTIFS('📋 Jun 2026'!$B$5:$B$60,$A10,'📋 Jun 2026'!$C$5:$C$60,"&lt;"&amp;$D10)+COUNTIFS('📋 Jul 2026'!$B$5:$B$60,$A10,'📋 Jul 2026'!$C$5:$C$60,"&lt;"&amp;$D10)+COUNTIFS('📋 Aug 2026'!$B$5:$B$60,$A10,'📋 Aug 2026'!$C$5:$C$60,"&lt;"&amp;$D10)+COUNTIFS('📋 Sep 2026'!$B$5:$B$60,$A10,'📋 Sep 2026'!$C$5:$C$60,"&lt;"&amp;$D10)+COUNTIFS('📋 Oct 2026'!$B$5:$B$60,$A10,'📋 Oct 2026'!$C$5:$C$60,"&lt;"&amp;$D10)+COUNTIFS('📋 Nov 2026'!$B$5:$B$60,$A10,'📋 Nov 2026'!$C$5:$C$60,"&lt;"&amp;$D10)+COUNTIFS('📋 Dec 2026'!$B$5:$B$60,$A10,'📋 Dec 2026'!$C$5:$C$60,"&lt;"&amp;$D10))+(COUNTIFS('📋 May 2026'!$B$5:$B$60,$A10,'📋 May 2026'!$AB$5:$AB$60,"Alumni")+COUNTIFS('📋 Jun 2026'!$B$5:$B$60,$A10,'📋 Jun 2026'!$AB$5:$AB$60,"Alumni")+COUNTIFS('📋 Jul 2026'!$B$5:$B$60,$A10,'📋 Jul 2026'!$AB$5:$AB$60,"Alumni")+COUNTIFS('📋 Aug 2026'!$B$5:$B$60,$A10,'📋 Aug 2026'!$AB$5:$AB$60,"Alumni")+COUNTIFS('📋 Sep 2026'!$B$5:$B$60,$A10,'📋 Sep 2026'!$AB$5:$AB$60,"Alumni")+COUNTIFS('📋 Oct 2026'!$B$5:$B$60,$A10,'📋 Oct 2026'!$AB$5:$AB$60,"Alumni")+COUNTIFS('📋 Nov 2026'!$B$5:$B$60,$A10,'📋 Nov 2026'!$AB$5:$AB$60,"Alumni")+COUNTIFS('📋 Dec 2026'!$B$5:$B$60,$A10,'📋 Dec 2026'!$AB$5:$AB$60,"Alumni"))&gt;=1,"Alumni","New"))</f>
        <v>Alumni</v>
      </c>
    </row>
    <row r="11" spans="1:17" ht="15.75" customHeight="1">
      <c r="A11" s="63" t="s">
        <v>114</v>
      </c>
      <c r="B11" s="64" t="s">
        <v>115</v>
      </c>
      <c r="C11" s="64" t="s">
        <v>36</v>
      </c>
      <c r="D11" s="65">
        <v>46187</v>
      </c>
      <c r="E11" s="64" t="s">
        <v>98</v>
      </c>
      <c r="F11" s="64" t="s">
        <v>98</v>
      </c>
      <c r="G11" s="64">
        <v>21</v>
      </c>
      <c r="H11" s="63" t="s">
        <v>116</v>
      </c>
      <c r="I11" s="63" t="s">
        <v>117</v>
      </c>
      <c r="J11" s="63" t="s">
        <v>107</v>
      </c>
      <c r="K11" s="64"/>
      <c r="L11" s="64"/>
      <c r="M11" s="64"/>
      <c r="N11" s="69"/>
      <c r="O11" s="66">
        <f t="shared" si="0"/>
        <v>46208</v>
      </c>
      <c r="P11" s="67">
        <f t="shared" ca="1" si="1"/>
        <v>18</v>
      </c>
      <c r="Q11" s="68" t="str">
        <f>IF(OR($A11="",$D11=""),"",IF((COUNTIFS('📋 May 2026'!$B$5:$B$60,$A11,'📋 May 2026'!$C$5:$C$60,"&lt;"&amp;$D11)+COUNTIFS('📋 Jun 2026'!$B$5:$B$60,$A11,'📋 Jun 2026'!$C$5:$C$60,"&lt;"&amp;$D11)+COUNTIFS('📋 Jul 2026'!$B$5:$B$60,$A11,'📋 Jul 2026'!$C$5:$C$60,"&lt;"&amp;$D11)+COUNTIFS('📋 Aug 2026'!$B$5:$B$60,$A11,'📋 Aug 2026'!$C$5:$C$60,"&lt;"&amp;$D11)+COUNTIFS('📋 Sep 2026'!$B$5:$B$60,$A11,'📋 Sep 2026'!$C$5:$C$60,"&lt;"&amp;$D11)+COUNTIFS('📋 Oct 2026'!$B$5:$B$60,$A11,'📋 Oct 2026'!$C$5:$C$60,"&lt;"&amp;$D11)+COUNTIFS('📋 Nov 2026'!$B$5:$B$60,$A11,'📋 Nov 2026'!$C$5:$C$60,"&lt;"&amp;$D11)+COUNTIFS('📋 Dec 2026'!$B$5:$B$60,$A11,'📋 Dec 2026'!$C$5:$C$60,"&lt;"&amp;$D11))+(COUNTIFS('📋 May 2026'!$B$5:$B$60,$A11,'📋 May 2026'!$AB$5:$AB$60,"Alumni")+COUNTIFS('📋 Jun 2026'!$B$5:$B$60,$A11,'📋 Jun 2026'!$AB$5:$AB$60,"Alumni")+COUNTIFS('📋 Jul 2026'!$B$5:$B$60,$A11,'📋 Jul 2026'!$AB$5:$AB$60,"Alumni")+COUNTIFS('📋 Aug 2026'!$B$5:$B$60,$A11,'📋 Aug 2026'!$AB$5:$AB$60,"Alumni")+COUNTIFS('📋 Sep 2026'!$B$5:$B$60,$A11,'📋 Sep 2026'!$AB$5:$AB$60,"Alumni")+COUNTIFS('📋 Oct 2026'!$B$5:$B$60,$A11,'📋 Oct 2026'!$AB$5:$AB$60,"Alumni")+COUNTIFS('📋 Nov 2026'!$B$5:$B$60,$A11,'📋 Nov 2026'!$AB$5:$AB$60,"Alumni")+COUNTIFS('📋 Dec 2026'!$B$5:$B$60,$A11,'📋 Dec 2026'!$AB$5:$AB$60,"Alumni"))&gt;=1,"Alumni","New"))</f>
        <v>Alumni</v>
      </c>
    </row>
    <row r="12" spans="1:17" ht="15.75" customHeight="1">
      <c r="A12" s="63" t="s">
        <v>118</v>
      </c>
      <c r="B12" s="64" t="s">
        <v>119</v>
      </c>
      <c r="C12" s="64" t="s">
        <v>36</v>
      </c>
      <c r="D12" s="65">
        <v>46184</v>
      </c>
      <c r="E12" s="64" t="s">
        <v>98</v>
      </c>
      <c r="F12" s="64" t="s">
        <v>98</v>
      </c>
      <c r="G12" s="64">
        <v>10</v>
      </c>
      <c r="H12" s="63" t="s">
        <v>120</v>
      </c>
      <c r="I12" s="63" t="s">
        <v>106</v>
      </c>
      <c r="J12" s="63" t="s">
        <v>101</v>
      </c>
      <c r="K12" s="64" t="s">
        <v>102</v>
      </c>
      <c r="L12" s="64"/>
      <c r="M12" s="64"/>
      <c r="N12" s="69">
        <v>46194</v>
      </c>
      <c r="O12" s="66">
        <f t="shared" si="0"/>
        <v>46194</v>
      </c>
      <c r="P12" s="67">
        <f t="shared" ca="1" si="1"/>
        <v>4</v>
      </c>
      <c r="Q12" s="68" t="str">
        <f>IF(OR($A12="",$D12=""),"",IF((COUNTIFS('📋 May 2026'!$B$5:$B$60,$A12,'📋 May 2026'!$C$5:$C$60,"&lt;"&amp;$D12)+COUNTIFS('📋 Jun 2026'!$B$5:$B$60,$A12,'📋 Jun 2026'!$C$5:$C$60,"&lt;"&amp;$D12)+COUNTIFS('📋 Jul 2026'!$B$5:$B$60,$A12,'📋 Jul 2026'!$C$5:$C$60,"&lt;"&amp;$D12)+COUNTIFS('📋 Aug 2026'!$B$5:$B$60,$A12,'📋 Aug 2026'!$C$5:$C$60,"&lt;"&amp;$D12)+COUNTIFS('📋 Sep 2026'!$B$5:$B$60,$A12,'📋 Sep 2026'!$C$5:$C$60,"&lt;"&amp;$D12)+COUNTIFS('📋 Oct 2026'!$B$5:$B$60,$A12,'📋 Oct 2026'!$C$5:$C$60,"&lt;"&amp;$D12)+COUNTIFS('📋 Nov 2026'!$B$5:$B$60,$A12,'📋 Nov 2026'!$C$5:$C$60,"&lt;"&amp;$D12)+COUNTIFS('📋 Dec 2026'!$B$5:$B$60,$A12,'📋 Dec 2026'!$C$5:$C$60,"&lt;"&amp;$D12))+(COUNTIFS('📋 May 2026'!$B$5:$B$60,$A12,'📋 May 2026'!$AB$5:$AB$60,"Alumni")+COUNTIFS('📋 Jun 2026'!$B$5:$B$60,$A12,'📋 Jun 2026'!$AB$5:$AB$60,"Alumni")+COUNTIFS('📋 Jul 2026'!$B$5:$B$60,$A12,'📋 Jul 2026'!$AB$5:$AB$60,"Alumni")+COUNTIFS('📋 Aug 2026'!$B$5:$B$60,$A12,'📋 Aug 2026'!$AB$5:$AB$60,"Alumni")+COUNTIFS('📋 Sep 2026'!$B$5:$B$60,$A12,'📋 Sep 2026'!$AB$5:$AB$60,"Alumni")+COUNTIFS('📋 Oct 2026'!$B$5:$B$60,$A12,'📋 Oct 2026'!$AB$5:$AB$60,"Alumni")+COUNTIFS('📋 Nov 2026'!$B$5:$B$60,$A12,'📋 Nov 2026'!$AB$5:$AB$60,"Alumni")+COUNTIFS('📋 Dec 2026'!$B$5:$B$60,$A12,'📋 Dec 2026'!$AB$5:$AB$60,"Alumni"))&gt;=1,"Alumni","New"))</f>
        <v>Alumni</v>
      </c>
    </row>
    <row r="13" spans="1:17" ht="15.75" customHeight="1">
      <c r="A13" s="63" t="s">
        <v>121</v>
      </c>
      <c r="B13" s="64" t="s">
        <v>122</v>
      </c>
      <c r="C13" s="64" t="s">
        <v>36</v>
      </c>
      <c r="D13" s="65">
        <v>46186</v>
      </c>
      <c r="E13" s="64" t="s">
        <v>98</v>
      </c>
      <c r="F13" s="64" t="s">
        <v>98</v>
      </c>
      <c r="G13" s="64">
        <v>30</v>
      </c>
      <c r="H13" s="63" t="s">
        <v>123</v>
      </c>
      <c r="I13" s="63"/>
      <c r="J13" s="63"/>
      <c r="K13" s="64"/>
      <c r="L13" s="64"/>
      <c r="M13" s="64"/>
      <c r="N13" s="63"/>
      <c r="O13" s="66">
        <f t="shared" si="0"/>
        <v>46216</v>
      </c>
      <c r="P13" s="67">
        <f t="shared" ca="1" si="1"/>
        <v>26</v>
      </c>
      <c r="Q13" s="68" t="str">
        <f>IF(OR($A13="",$D13=""),"",IF((COUNTIFS('📋 May 2026'!$B$5:$B$60,$A13,'📋 May 2026'!$C$5:$C$60,"&lt;"&amp;$D13)+COUNTIFS('📋 Jun 2026'!$B$5:$B$60,$A13,'📋 Jun 2026'!$C$5:$C$60,"&lt;"&amp;$D13)+COUNTIFS('📋 Jul 2026'!$B$5:$B$60,$A13,'📋 Jul 2026'!$C$5:$C$60,"&lt;"&amp;$D13)+COUNTIFS('📋 Aug 2026'!$B$5:$B$60,$A13,'📋 Aug 2026'!$C$5:$C$60,"&lt;"&amp;$D13)+COUNTIFS('📋 Sep 2026'!$B$5:$B$60,$A13,'📋 Sep 2026'!$C$5:$C$60,"&lt;"&amp;$D13)+COUNTIFS('📋 Oct 2026'!$B$5:$B$60,$A13,'📋 Oct 2026'!$C$5:$C$60,"&lt;"&amp;$D13)+COUNTIFS('📋 Nov 2026'!$B$5:$B$60,$A13,'📋 Nov 2026'!$C$5:$C$60,"&lt;"&amp;$D13)+COUNTIFS('📋 Dec 2026'!$B$5:$B$60,$A13,'📋 Dec 2026'!$C$5:$C$60,"&lt;"&amp;$D13))+(COUNTIFS('📋 May 2026'!$B$5:$B$60,$A13,'📋 May 2026'!$AB$5:$AB$60,"Alumni")+COUNTIFS('📋 Jun 2026'!$B$5:$B$60,$A13,'📋 Jun 2026'!$AB$5:$AB$60,"Alumni")+COUNTIFS('📋 Jul 2026'!$B$5:$B$60,$A13,'📋 Jul 2026'!$AB$5:$AB$60,"Alumni")+COUNTIFS('📋 Aug 2026'!$B$5:$B$60,$A13,'📋 Aug 2026'!$AB$5:$AB$60,"Alumni")+COUNTIFS('📋 Sep 2026'!$B$5:$B$60,$A13,'📋 Sep 2026'!$AB$5:$AB$60,"Alumni")+COUNTIFS('📋 Oct 2026'!$B$5:$B$60,$A13,'📋 Oct 2026'!$AB$5:$AB$60,"Alumni")+COUNTIFS('📋 Nov 2026'!$B$5:$B$60,$A13,'📋 Nov 2026'!$AB$5:$AB$60,"Alumni")+COUNTIFS('📋 Dec 2026'!$B$5:$B$60,$A13,'📋 Dec 2026'!$AB$5:$AB$60,"Alumni"))&gt;=1,"Alumni","New"))</f>
        <v>Alumni</v>
      </c>
    </row>
    <row r="14" spans="1:17" ht="15.75" customHeight="1">
      <c r="A14" s="63" t="s">
        <v>124</v>
      </c>
      <c r="B14" s="64" t="s">
        <v>125</v>
      </c>
      <c r="C14" s="64" t="s">
        <v>36</v>
      </c>
      <c r="D14" s="65">
        <v>46186</v>
      </c>
      <c r="E14" s="64" t="s">
        <v>126</v>
      </c>
      <c r="F14" s="64" t="s">
        <v>126</v>
      </c>
      <c r="G14" s="64">
        <v>30</v>
      </c>
      <c r="H14" s="63" t="s">
        <v>127</v>
      </c>
      <c r="I14" s="63" t="s">
        <v>128</v>
      </c>
      <c r="J14" s="63" t="s">
        <v>129</v>
      </c>
      <c r="K14" s="64" t="s">
        <v>113</v>
      </c>
      <c r="L14" s="64"/>
      <c r="M14" s="64"/>
      <c r="N14" s="63"/>
      <c r="O14" s="66">
        <f t="shared" si="0"/>
        <v>46216</v>
      </c>
      <c r="P14" s="67">
        <f t="shared" ca="1" si="1"/>
        <v>26</v>
      </c>
      <c r="Q14" s="68" t="str">
        <f>IF(OR($A14="",$D14=""),"",IF((COUNTIFS('📋 May 2026'!$B$5:$B$60,$A14,'📋 May 2026'!$C$5:$C$60,"&lt;"&amp;$D14)+COUNTIFS('📋 Jun 2026'!$B$5:$B$60,$A14,'📋 Jun 2026'!$C$5:$C$60,"&lt;"&amp;$D14)+COUNTIFS('📋 Jul 2026'!$B$5:$B$60,$A14,'📋 Jul 2026'!$C$5:$C$60,"&lt;"&amp;$D14)+COUNTIFS('📋 Aug 2026'!$B$5:$B$60,$A14,'📋 Aug 2026'!$C$5:$C$60,"&lt;"&amp;$D14)+COUNTIFS('📋 Sep 2026'!$B$5:$B$60,$A14,'📋 Sep 2026'!$C$5:$C$60,"&lt;"&amp;$D14)+COUNTIFS('📋 Oct 2026'!$B$5:$B$60,$A14,'📋 Oct 2026'!$C$5:$C$60,"&lt;"&amp;$D14)+COUNTIFS('📋 Nov 2026'!$B$5:$B$60,$A14,'📋 Nov 2026'!$C$5:$C$60,"&lt;"&amp;$D14)+COUNTIFS('📋 Dec 2026'!$B$5:$B$60,$A14,'📋 Dec 2026'!$C$5:$C$60,"&lt;"&amp;$D14))+(COUNTIFS('📋 May 2026'!$B$5:$B$60,$A14,'📋 May 2026'!$AB$5:$AB$60,"Alumni")+COUNTIFS('📋 Jun 2026'!$B$5:$B$60,$A14,'📋 Jun 2026'!$AB$5:$AB$60,"Alumni")+COUNTIFS('📋 Jul 2026'!$B$5:$B$60,$A14,'📋 Jul 2026'!$AB$5:$AB$60,"Alumni")+COUNTIFS('📋 Aug 2026'!$B$5:$B$60,$A14,'📋 Aug 2026'!$AB$5:$AB$60,"Alumni")+COUNTIFS('📋 Sep 2026'!$B$5:$B$60,$A14,'📋 Sep 2026'!$AB$5:$AB$60,"Alumni")+COUNTIFS('📋 Oct 2026'!$B$5:$B$60,$A14,'📋 Oct 2026'!$AB$5:$AB$60,"Alumni")+COUNTIFS('📋 Nov 2026'!$B$5:$B$60,$A14,'📋 Nov 2026'!$AB$5:$AB$60,"Alumni")+COUNTIFS('📋 Dec 2026'!$B$5:$B$60,$A14,'📋 Dec 2026'!$AB$5:$AB$60,"Alumni"))&gt;=1,"Alumni","New"))</f>
        <v>New</v>
      </c>
    </row>
    <row r="15" spans="1:17" ht="15.75" customHeight="1">
      <c r="A15" s="63" t="s">
        <v>130</v>
      </c>
      <c r="B15" s="64" t="s">
        <v>131</v>
      </c>
      <c r="C15" s="64" t="s">
        <v>36</v>
      </c>
      <c r="D15" s="65">
        <v>46184</v>
      </c>
      <c r="E15" s="64" t="s">
        <v>98</v>
      </c>
      <c r="F15" s="64" t="s">
        <v>98</v>
      </c>
      <c r="G15" s="64">
        <v>30</v>
      </c>
      <c r="H15" s="63" t="s">
        <v>116</v>
      </c>
      <c r="I15" s="63" t="s">
        <v>128</v>
      </c>
      <c r="J15" s="63" t="s">
        <v>107</v>
      </c>
      <c r="K15" s="64"/>
      <c r="L15" s="64"/>
      <c r="M15" s="64"/>
      <c r="N15" s="69"/>
      <c r="O15" s="66">
        <f t="shared" si="0"/>
        <v>46214</v>
      </c>
      <c r="P15" s="67">
        <f t="shared" ca="1" si="1"/>
        <v>24</v>
      </c>
      <c r="Q15" s="68" t="str">
        <f>IF(OR($A15="",$D15=""),"",IF((COUNTIFS('📋 May 2026'!$B$5:$B$60,$A15,'📋 May 2026'!$C$5:$C$60,"&lt;"&amp;$D15)+COUNTIFS('📋 Jun 2026'!$B$5:$B$60,$A15,'📋 Jun 2026'!$C$5:$C$60,"&lt;"&amp;$D15)+COUNTIFS('📋 Jul 2026'!$B$5:$B$60,$A15,'📋 Jul 2026'!$C$5:$C$60,"&lt;"&amp;$D15)+COUNTIFS('📋 Aug 2026'!$B$5:$B$60,$A15,'📋 Aug 2026'!$C$5:$C$60,"&lt;"&amp;$D15)+COUNTIFS('📋 Sep 2026'!$B$5:$B$60,$A15,'📋 Sep 2026'!$C$5:$C$60,"&lt;"&amp;$D15)+COUNTIFS('📋 Oct 2026'!$B$5:$B$60,$A15,'📋 Oct 2026'!$C$5:$C$60,"&lt;"&amp;$D15)+COUNTIFS('📋 Nov 2026'!$B$5:$B$60,$A15,'📋 Nov 2026'!$C$5:$C$60,"&lt;"&amp;$D15)+COUNTIFS('📋 Dec 2026'!$B$5:$B$60,$A15,'📋 Dec 2026'!$C$5:$C$60,"&lt;"&amp;$D15))+(COUNTIFS('📋 May 2026'!$B$5:$B$60,$A15,'📋 May 2026'!$AB$5:$AB$60,"Alumni")+COUNTIFS('📋 Jun 2026'!$B$5:$B$60,$A15,'📋 Jun 2026'!$AB$5:$AB$60,"Alumni")+COUNTIFS('📋 Jul 2026'!$B$5:$B$60,$A15,'📋 Jul 2026'!$AB$5:$AB$60,"Alumni")+COUNTIFS('📋 Aug 2026'!$B$5:$B$60,$A15,'📋 Aug 2026'!$AB$5:$AB$60,"Alumni")+COUNTIFS('📋 Sep 2026'!$B$5:$B$60,$A15,'📋 Sep 2026'!$AB$5:$AB$60,"Alumni")+COUNTIFS('📋 Oct 2026'!$B$5:$B$60,$A15,'📋 Oct 2026'!$AB$5:$AB$60,"Alumni")+COUNTIFS('📋 Nov 2026'!$B$5:$B$60,$A15,'📋 Nov 2026'!$AB$5:$AB$60,"Alumni")+COUNTIFS('📋 Dec 2026'!$B$5:$B$60,$A15,'📋 Dec 2026'!$AB$5:$AB$60,"Alumni"))&gt;=1,"Alumni","New"))</f>
        <v>New</v>
      </c>
    </row>
    <row r="16" spans="1:17" ht="15.75" customHeight="1">
      <c r="A16" s="63" t="s">
        <v>132</v>
      </c>
      <c r="B16" s="64" t="s">
        <v>133</v>
      </c>
      <c r="C16" s="64" t="s">
        <v>36</v>
      </c>
      <c r="D16" s="65">
        <v>46183</v>
      </c>
      <c r="E16" s="64" t="s">
        <v>98</v>
      </c>
      <c r="F16" s="64" t="s">
        <v>98</v>
      </c>
      <c r="G16" s="64">
        <v>30</v>
      </c>
      <c r="H16" s="63" t="s">
        <v>105</v>
      </c>
      <c r="I16" s="63" t="s">
        <v>134</v>
      </c>
      <c r="J16" s="63" t="s">
        <v>135</v>
      </c>
      <c r="K16" s="64"/>
      <c r="L16" s="64"/>
      <c r="M16" s="64"/>
      <c r="N16" s="69"/>
      <c r="O16" s="66">
        <f t="shared" si="0"/>
        <v>46213</v>
      </c>
      <c r="P16" s="67">
        <f t="shared" ca="1" si="1"/>
        <v>23</v>
      </c>
      <c r="Q16" s="68" t="str">
        <f>IF(OR($A16="",$D16=""),"",IF((COUNTIFS('📋 May 2026'!$B$5:$B$60,$A16,'📋 May 2026'!$C$5:$C$60,"&lt;"&amp;$D16)+COUNTIFS('📋 Jun 2026'!$B$5:$B$60,$A16,'📋 Jun 2026'!$C$5:$C$60,"&lt;"&amp;$D16)+COUNTIFS('📋 Jul 2026'!$B$5:$B$60,$A16,'📋 Jul 2026'!$C$5:$C$60,"&lt;"&amp;$D16)+COUNTIFS('📋 Aug 2026'!$B$5:$B$60,$A16,'📋 Aug 2026'!$C$5:$C$60,"&lt;"&amp;$D16)+COUNTIFS('📋 Sep 2026'!$B$5:$B$60,$A16,'📋 Sep 2026'!$C$5:$C$60,"&lt;"&amp;$D16)+COUNTIFS('📋 Oct 2026'!$B$5:$B$60,$A16,'📋 Oct 2026'!$C$5:$C$60,"&lt;"&amp;$D16)+COUNTIFS('📋 Nov 2026'!$B$5:$B$60,$A16,'📋 Nov 2026'!$C$5:$C$60,"&lt;"&amp;$D16)+COUNTIFS('📋 Dec 2026'!$B$5:$B$60,$A16,'📋 Dec 2026'!$C$5:$C$60,"&lt;"&amp;$D16))+(COUNTIFS('📋 May 2026'!$B$5:$B$60,$A16,'📋 May 2026'!$AB$5:$AB$60,"Alumni")+COUNTIFS('📋 Jun 2026'!$B$5:$B$60,$A16,'📋 Jun 2026'!$AB$5:$AB$60,"Alumni")+COUNTIFS('📋 Jul 2026'!$B$5:$B$60,$A16,'📋 Jul 2026'!$AB$5:$AB$60,"Alumni")+COUNTIFS('📋 Aug 2026'!$B$5:$B$60,$A16,'📋 Aug 2026'!$AB$5:$AB$60,"Alumni")+COUNTIFS('📋 Sep 2026'!$B$5:$B$60,$A16,'📋 Sep 2026'!$AB$5:$AB$60,"Alumni")+COUNTIFS('📋 Oct 2026'!$B$5:$B$60,$A16,'📋 Oct 2026'!$AB$5:$AB$60,"Alumni")+COUNTIFS('📋 Nov 2026'!$B$5:$B$60,$A16,'📋 Nov 2026'!$AB$5:$AB$60,"Alumni")+COUNTIFS('📋 Dec 2026'!$B$5:$B$60,$A16,'📋 Dec 2026'!$AB$5:$AB$60,"Alumni"))&gt;=1,"Alumni","New"))</f>
        <v>New</v>
      </c>
    </row>
    <row r="17" spans="1:17" ht="19.5" customHeight="1">
      <c r="A17" s="63" t="s">
        <v>136</v>
      </c>
      <c r="B17" s="64" t="s">
        <v>137</v>
      </c>
      <c r="C17" s="64" t="s">
        <v>36</v>
      </c>
      <c r="D17" s="65">
        <v>46169</v>
      </c>
      <c r="E17" s="64" t="s">
        <v>98</v>
      </c>
      <c r="F17" s="64" t="s">
        <v>98</v>
      </c>
      <c r="G17" s="64">
        <v>30</v>
      </c>
      <c r="H17" s="63" t="s">
        <v>99</v>
      </c>
      <c r="I17" s="63" t="s">
        <v>138</v>
      </c>
      <c r="J17" s="63" t="s">
        <v>101</v>
      </c>
      <c r="K17" s="64" t="s">
        <v>102</v>
      </c>
      <c r="L17" s="64"/>
      <c r="M17" s="64"/>
      <c r="N17" s="69">
        <v>46205</v>
      </c>
      <c r="O17" s="66">
        <f t="shared" si="0"/>
        <v>46205</v>
      </c>
      <c r="P17" s="67">
        <f t="shared" ca="1" si="1"/>
        <v>15</v>
      </c>
      <c r="Q17" s="68" t="str">
        <f>IF(OR($A17="",$D17=""),"",IF((COUNTIFS('📋 May 2026'!$B$5:$B$60,$A17,'📋 May 2026'!$C$5:$C$60,"&lt;"&amp;$D17)+COUNTIFS('📋 Jun 2026'!$B$5:$B$60,$A17,'📋 Jun 2026'!$C$5:$C$60,"&lt;"&amp;$D17)+COUNTIFS('📋 Jul 2026'!$B$5:$B$60,$A17,'📋 Jul 2026'!$C$5:$C$60,"&lt;"&amp;$D17)+COUNTIFS('📋 Aug 2026'!$B$5:$B$60,$A17,'📋 Aug 2026'!$C$5:$C$60,"&lt;"&amp;$D17)+COUNTIFS('📋 Sep 2026'!$B$5:$B$60,$A17,'📋 Sep 2026'!$C$5:$C$60,"&lt;"&amp;$D17)+COUNTIFS('📋 Oct 2026'!$B$5:$B$60,$A17,'📋 Oct 2026'!$C$5:$C$60,"&lt;"&amp;$D17)+COUNTIFS('📋 Nov 2026'!$B$5:$B$60,$A17,'📋 Nov 2026'!$C$5:$C$60,"&lt;"&amp;$D17)+COUNTIFS('📋 Dec 2026'!$B$5:$B$60,$A17,'📋 Dec 2026'!$C$5:$C$60,"&lt;"&amp;$D17))+(COUNTIFS('📋 May 2026'!$B$5:$B$60,$A17,'📋 May 2026'!$AB$5:$AB$60,"Alumni")+COUNTIFS('📋 Jun 2026'!$B$5:$B$60,$A17,'📋 Jun 2026'!$AB$5:$AB$60,"Alumni")+COUNTIFS('📋 Jul 2026'!$B$5:$B$60,$A17,'📋 Jul 2026'!$AB$5:$AB$60,"Alumni")+COUNTIFS('📋 Aug 2026'!$B$5:$B$60,$A17,'📋 Aug 2026'!$AB$5:$AB$60,"Alumni")+COUNTIFS('📋 Sep 2026'!$B$5:$B$60,$A17,'📋 Sep 2026'!$AB$5:$AB$60,"Alumni")+COUNTIFS('📋 Oct 2026'!$B$5:$B$60,$A17,'📋 Oct 2026'!$AB$5:$AB$60,"Alumni")+COUNTIFS('📋 Nov 2026'!$B$5:$B$60,$A17,'📋 Nov 2026'!$AB$5:$AB$60,"Alumni")+COUNTIFS('📋 Dec 2026'!$B$5:$B$60,$A17,'📋 Dec 2026'!$AB$5:$AB$60,"Alumni"))&gt;=1,"Alumni","New"))</f>
        <v>New</v>
      </c>
    </row>
    <row r="18" spans="1:17" ht="15.75" customHeight="1">
      <c r="A18" s="63" t="s">
        <v>139</v>
      </c>
      <c r="B18" s="64" t="s">
        <v>140</v>
      </c>
      <c r="C18" s="64" t="s">
        <v>36</v>
      </c>
      <c r="D18" s="65">
        <v>46164</v>
      </c>
      <c r="E18" s="64" t="s">
        <v>98</v>
      </c>
      <c r="F18" s="64" t="s">
        <v>98</v>
      </c>
      <c r="G18" s="64">
        <v>30</v>
      </c>
      <c r="H18" s="63" t="s">
        <v>105</v>
      </c>
      <c r="I18" s="63" t="s">
        <v>106</v>
      </c>
      <c r="J18" s="63" t="s">
        <v>101</v>
      </c>
      <c r="K18" s="64" t="s">
        <v>102</v>
      </c>
      <c r="L18" s="64"/>
      <c r="M18" s="64"/>
      <c r="N18" s="69">
        <v>46203</v>
      </c>
      <c r="O18" s="66">
        <f t="shared" si="0"/>
        <v>46203</v>
      </c>
      <c r="P18" s="67">
        <f t="shared" ca="1" si="1"/>
        <v>13</v>
      </c>
      <c r="Q18" s="68" t="str">
        <f>IF(OR($A18="",$D18=""),"",IF((COUNTIFS('📋 May 2026'!$B$5:$B$60,$A18,'📋 May 2026'!$C$5:$C$60,"&lt;"&amp;$D18)+COUNTIFS('📋 Jun 2026'!$B$5:$B$60,$A18,'📋 Jun 2026'!$C$5:$C$60,"&lt;"&amp;$D18)+COUNTIFS('📋 Jul 2026'!$B$5:$B$60,$A18,'📋 Jul 2026'!$C$5:$C$60,"&lt;"&amp;$D18)+COUNTIFS('📋 Aug 2026'!$B$5:$B$60,$A18,'📋 Aug 2026'!$C$5:$C$60,"&lt;"&amp;$D18)+COUNTIFS('📋 Sep 2026'!$B$5:$B$60,$A18,'📋 Sep 2026'!$C$5:$C$60,"&lt;"&amp;$D18)+COUNTIFS('📋 Oct 2026'!$B$5:$B$60,$A18,'📋 Oct 2026'!$C$5:$C$60,"&lt;"&amp;$D18)+COUNTIFS('📋 Nov 2026'!$B$5:$B$60,$A18,'📋 Nov 2026'!$C$5:$C$60,"&lt;"&amp;$D18)+COUNTIFS('📋 Dec 2026'!$B$5:$B$60,$A18,'📋 Dec 2026'!$C$5:$C$60,"&lt;"&amp;$D18))+(COUNTIFS('📋 May 2026'!$B$5:$B$60,$A18,'📋 May 2026'!$AB$5:$AB$60,"Alumni")+COUNTIFS('📋 Jun 2026'!$B$5:$B$60,$A18,'📋 Jun 2026'!$AB$5:$AB$60,"Alumni")+COUNTIFS('📋 Jul 2026'!$B$5:$B$60,$A18,'📋 Jul 2026'!$AB$5:$AB$60,"Alumni")+COUNTIFS('📋 Aug 2026'!$B$5:$B$60,$A18,'📋 Aug 2026'!$AB$5:$AB$60,"Alumni")+COUNTIFS('📋 Sep 2026'!$B$5:$B$60,$A18,'📋 Sep 2026'!$AB$5:$AB$60,"Alumni")+COUNTIFS('📋 Oct 2026'!$B$5:$B$60,$A18,'📋 Oct 2026'!$AB$5:$AB$60,"Alumni")+COUNTIFS('📋 Nov 2026'!$B$5:$B$60,$A18,'📋 Nov 2026'!$AB$5:$AB$60,"Alumni")+COUNTIFS('📋 Dec 2026'!$B$5:$B$60,$A18,'📋 Dec 2026'!$AB$5:$AB$60,"Alumni"))&gt;=1,"Alumni","New"))</f>
        <v>Alumni</v>
      </c>
    </row>
    <row r="19" spans="1:17" ht="15.75" customHeight="1">
      <c r="A19" s="63"/>
      <c r="B19" s="64"/>
      <c r="C19" s="64"/>
      <c r="D19" s="65"/>
      <c r="E19" s="64"/>
      <c r="F19" s="64"/>
      <c r="G19" s="64"/>
      <c r="H19" s="63"/>
      <c r="I19" s="63"/>
      <c r="J19" s="63"/>
      <c r="K19" s="64"/>
      <c r="L19" s="64"/>
      <c r="M19" s="64"/>
      <c r="N19" s="63"/>
      <c r="O19" s="66"/>
      <c r="P19" s="67"/>
    </row>
    <row r="20" spans="1:17" ht="15.75" customHeight="1">
      <c r="A20" s="291" t="s">
        <v>141</v>
      </c>
      <c r="B20" s="291"/>
      <c r="C20" s="291"/>
      <c r="D20" s="291"/>
      <c r="E20" s="291"/>
      <c r="F20" s="291"/>
      <c r="G20" s="291"/>
      <c r="H20" s="291"/>
      <c r="I20" s="291"/>
      <c r="J20" s="291"/>
      <c r="K20" s="291"/>
      <c r="L20" s="291"/>
      <c r="M20" s="291"/>
      <c r="N20" s="291"/>
      <c r="O20" s="291"/>
      <c r="P20" s="291"/>
    </row>
    <row r="21" spans="1:17" ht="15.75" customHeight="1">
      <c r="A21" s="63" t="s">
        <v>142</v>
      </c>
      <c r="B21" s="64" t="s">
        <v>143</v>
      </c>
      <c r="C21" s="64" t="s">
        <v>36</v>
      </c>
      <c r="D21" s="65">
        <v>46185</v>
      </c>
      <c r="E21" s="64" t="s">
        <v>111</v>
      </c>
      <c r="F21" s="64" t="s">
        <v>111</v>
      </c>
      <c r="G21" s="64">
        <v>7</v>
      </c>
      <c r="H21" s="63" t="s">
        <v>105</v>
      </c>
      <c r="I21" s="63" t="s">
        <v>128</v>
      </c>
      <c r="J21" s="63" t="s">
        <v>101</v>
      </c>
      <c r="K21" s="64" t="s">
        <v>102</v>
      </c>
      <c r="L21" s="64"/>
      <c r="M21" s="64"/>
      <c r="N21" s="63"/>
      <c r="O21" s="66">
        <f t="shared" ref="O21:O26" si="2">IF($A21="","",IF($N21&lt;&gt;"",$N21,IF(AND($D21&lt;&gt;"",$G21&lt;&gt;""),$D21+$G21,"")))</f>
        <v>46192</v>
      </c>
      <c r="P21" s="67">
        <f t="shared" ref="P21:P26" ca="1" si="3">IF(O21="","",O21-TODAY())</f>
        <v>2</v>
      </c>
      <c r="Q21" s="68" t="str">
        <f>IF(OR($A21="",$D21=""),"",IF((COUNTIFS('📋 May 2026'!$B$5:$B$60,$A21,'📋 May 2026'!$C$5:$C$60,"&lt;"&amp;$D21)+COUNTIFS('📋 Jun 2026'!$B$5:$B$60,$A21,'📋 Jun 2026'!$C$5:$C$60,"&lt;"&amp;$D21)+COUNTIFS('📋 Jul 2026'!$B$5:$B$60,$A21,'📋 Jul 2026'!$C$5:$C$60,"&lt;"&amp;$D21)+COUNTIFS('📋 Aug 2026'!$B$5:$B$60,$A21,'📋 Aug 2026'!$C$5:$C$60,"&lt;"&amp;$D21)+COUNTIFS('📋 Sep 2026'!$B$5:$B$60,$A21,'📋 Sep 2026'!$C$5:$C$60,"&lt;"&amp;$D21)+COUNTIFS('📋 Oct 2026'!$B$5:$B$60,$A21,'📋 Oct 2026'!$C$5:$C$60,"&lt;"&amp;$D21)+COUNTIFS('📋 Nov 2026'!$B$5:$B$60,$A21,'📋 Nov 2026'!$C$5:$C$60,"&lt;"&amp;$D21)+COUNTIFS('📋 Dec 2026'!$B$5:$B$60,$A21,'📋 Dec 2026'!$C$5:$C$60,"&lt;"&amp;$D21))+(COUNTIFS('📋 May 2026'!$B$5:$B$60,$A21,'📋 May 2026'!$AB$5:$AB$60,"Alumni")+COUNTIFS('📋 Jun 2026'!$B$5:$B$60,$A21,'📋 Jun 2026'!$AB$5:$AB$60,"Alumni")+COUNTIFS('📋 Jul 2026'!$B$5:$B$60,$A21,'📋 Jul 2026'!$AB$5:$AB$60,"Alumni")+COUNTIFS('📋 Aug 2026'!$B$5:$B$60,$A21,'📋 Aug 2026'!$AB$5:$AB$60,"Alumni")+COUNTIFS('📋 Sep 2026'!$B$5:$B$60,$A21,'📋 Sep 2026'!$AB$5:$AB$60,"Alumni")+COUNTIFS('📋 Oct 2026'!$B$5:$B$60,$A21,'📋 Oct 2026'!$AB$5:$AB$60,"Alumni")+COUNTIFS('📋 Nov 2026'!$B$5:$B$60,$A21,'📋 Nov 2026'!$AB$5:$AB$60,"Alumni")+COUNTIFS('📋 Dec 2026'!$B$5:$B$60,$A21,'📋 Dec 2026'!$AB$5:$AB$60,"Alumni"))&gt;=1,"Alumni","New"))</f>
        <v>New</v>
      </c>
    </row>
    <row r="22" spans="1:17" ht="15.75" customHeight="1">
      <c r="A22" s="63" t="s">
        <v>144</v>
      </c>
      <c r="B22" s="64" t="s">
        <v>145</v>
      </c>
      <c r="C22" s="64" t="s">
        <v>36</v>
      </c>
      <c r="D22" s="65">
        <v>46170</v>
      </c>
      <c r="E22" s="64" t="s">
        <v>98</v>
      </c>
      <c r="F22" s="64" t="s">
        <v>98</v>
      </c>
      <c r="G22" s="64">
        <v>30</v>
      </c>
      <c r="H22" s="63" t="s">
        <v>105</v>
      </c>
      <c r="I22" s="63" t="s">
        <v>146</v>
      </c>
      <c r="J22" s="63" t="s">
        <v>101</v>
      </c>
      <c r="K22" s="64" t="s">
        <v>102</v>
      </c>
      <c r="L22" s="64"/>
      <c r="M22" s="64"/>
      <c r="N22" s="69">
        <v>46202</v>
      </c>
      <c r="O22" s="66">
        <f t="shared" si="2"/>
        <v>46202</v>
      </c>
      <c r="P22" s="67">
        <f t="shared" ca="1" si="3"/>
        <v>12</v>
      </c>
      <c r="Q22" s="68" t="str">
        <f>IF(OR($A22="",$D22=""),"",IF((COUNTIFS('📋 May 2026'!$B$5:$B$60,$A22,'📋 May 2026'!$C$5:$C$60,"&lt;"&amp;$D22)+COUNTIFS('📋 Jun 2026'!$B$5:$B$60,$A22,'📋 Jun 2026'!$C$5:$C$60,"&lt;"&amp;$D22)+COUNTIFS('📋 Jul 2026'!$B$5:$B$60,$A22,'📋 Jul 2026'!$C$5:$C$60,"&lt;"&amp;$D22)+COUNTIFS('📋 Aug 2026'!$B$5:$B$60,$A22,'📋 Aug 2026'!$C$5:$C$60,"&lt;"&amp;$D22)+COUNTIFS('📋 Sep 2026'!$B$5:$B$60,$A22,'📋 Sep 2026'!$C$5:$C$60,"&lt;"&amp;$D22)+COUNTIFS('📋 Oct 2026'!$B$5:$B$60,$A22,'📋 Oct 2026'!$C$5:$C$60,"&lt;"&amp;$D22)+COUNTIFS('📋 Nov 2026'!$B$5:$B$60,$A22,'📋 Nov 2026'!$C$5:$C$60,"&lt;"&amp;$D22)+COUNTIFS('📋 Dec 2026'!$B$5:$B$60,$A22,'📋 Dec 2026'!$C$5:$C$60,"&lt;"&amp;$D22))+(COUNTIFS('📋 May 2026'!$B$5:$B$60,$A22,'📋 May 2026'!$AB$5:$AB$60,"Alumni")+COUNTIFS('📋 Jun 2026'!$B$5:$B$60,$A22,'📋 Jun 2026'!$AB$5:$AB$60,"Alumni")+COUNTIFS('📋 Jul 2026'!$B$5:$B$60,$A22,'📋 Jul 2026'!$AB$5:$AB$60,"Alumni")+COUNTIFS('📋 Aug 2026'!$B$5:$B$60,$A22,'📋 Aug 2026'!$AB$5:$AB$60,"Alumni")+COUNTIFS('📋 Sep 2026'!$B$5:$B$60,$A22,'📋 Sep 2026'!$AB$5:$AB$60,"Alumni")+COUNTIFS('📋 Oct 2026'!$B$5:$B$60,$A22,'📋 Oct 2026'!$AB$5:$AB$60,"Alumni")+COUNTIFS('📋 Nov 2026'!$B$5:$B$60,$A22,'📋 Nov 2026'!$AB$5:$AB$60,"Alumni")+COUNTIFS('📋 Dec 2026'!$B$5:$B$60,$A22,'📋 Dec 2026'!$AB$5:$AB$60,"Alumni"))&gt;=1,"Alumni","New"))</f>
        <v>New</v>
      </c>
    </row>
    <row r="23" spans="1:17" ht="15.75" customHeight="1">
      <c r="A23" s="63" t="s">
        <v>147</v>
      </c>
      <c r="B23" s="64" t="s">
        <v>148</v>
      </c>
      <c r="C23" s="64" t="s">
        <v>36</v>
      </c>
      <c r="D23" s="65">
        <v>46166</v>
      </c>
      <c r="E23" s="64" t="s">
        <v>111</v>
      </c>
      <c r="F23" s="64" t="s">
        <v>111</v>
      </c>
      <c r="G23" s="64">
        <v>30</v>
      </c>
      <c r="H23" s="63" t="s">
        <v>123</v>
      </c>
      <c r="I23" s="63" t="s">
        <v>149</v>
      </c>
      <c r="J23" s="63" t="s">
        <v>129</v>
      </c>
      <c r="K23" s="64" t="s">
        <v>102</v>
      </c>
      <c r="L23" s="64"/>
      <c r="M23" s="64"/>
      <c r="N23" s="69"/>
      <c r="O23" s="66">
        <f t="shared" si="2"/>
        <v>46196</v>
      </c>
      <c r="P23" s="67">
        <f t="shared" ca="1" si="3"/>
        <v>6</v>
      </c>
      <c r="Q23" s="68" t="str">
        <f>IF(OR($A23="",$D23=""),"",IF((COUNTIFS('📋 May 2026'!$B$5:$B$60,$A23,'📋 May 2026'!$C$5:$C$60,"&lt;"&amp;$D23)+COUNTIFS('📋 Jun 2026'!$B$5:$B$60,$A23,'📋 Jun 2026'!$C$5:$C$60,"&lt;"&amp;$D23)+COUNTIFS('📋 Jul 2026'!$B$5:$B$60,$A23,'📋 Jul 2026'!$C$5:$C$60,"&lt;"&amp;$D23)+COUNTIFS('📋 Aug 2026'!$B$5:$B$60,$A23,'📋 Aug 2026'!$C$5:$C$60,"&lt;"&amp;$D23)+COUNTIFS('📋 Sep 2026'!$B$5:$B$60,$A23,'📋 Sep 2026'!$C$5:$C$60,"&lt;"&amp;$D23)+COUNTIFS('📋 Oct 2026'!$B$5:$B$60,$A23,'📋 Oct 2026'!$C$5:$C$60,"&lt;"&amp;$D23)+COUNTIFS('📋 Nov 2026'!$B$5:$B$60,$A23,'📋 Nov 2026'!$C$5:$C$60,"&lt;"&amp;$D23)+COUNTIFS('📋 Dec 2026'!$B$5:$B$60,$A23,'📋 Dec 2026'!$C$5:$C$60,"&lt;"&amp;$D23))+(COUNTIFS('📋 May 2026'!$B$5:$B$60,$A23,'📋 May 2026'!$AB$5:$AB$60,"Alumni")+COUNTIFS('📋 Jun 2026'!$B$5:$B$60,$A23,'📋 Jun 2026'!$AB$5:$AB$60,"Alumni")+COUNTIFS('📋 Jul 2026'!$B$5:$B$60,$A23,'📋 Jul 2026'!$AB$5:$AB$60,"Alumni")+COUNTIFS('📋 Aug 2026'!$B$5:$B$60,$A23,'📋 Aug 2026'!$AB$5:$AB$60,"Alumni")+COUNTIFS('📋 Sep 2026'!$B$5:$B$60,$A23,'📋 Sep 2026'!$AB$5:$AB$60,"Alumni")+COUNTIFS('📋 Oct 2026'!$B$5:$B$60,$A23,'📋 Oct 2026'!$AB$5:$AB$60,"Alumni")+COUNTIFS('📋 Nov 2026'!$B$5:$B$60,$A23,'📋 Nov 2026'!$AB$5:$AB$60,"Alumni")+COUNTIFS('📋 Dec 2026'!$B$5:$B$60,$A23,'📋 Dec 2026'!$AB$5:$AB$60,"Alumni"))&gt;=1,"Alumni","New"))</f>
        <v>New</v>
      </c>
    </row>
    <row r="24" spans="1:17" ht="15.75" customHeight="1">
      <c r="A24" s="63" t="s">
        <v>150</v>
      </c>
      <c r="B24" s="64" t="s">
        <v>151</v>
      </c>
      <c r="C24" s="64" t="s">
        <v>36</v>
      </c>
      <c r="D24" s="65">
        <v>46171</v>
      </c>
      <c r="E24" s="64" t="s">
        <v>111</v>
      </c>
      <c r="F24" s="64" t="s">
        <v>111</v>
      </c>
      <c r="G24" s="64">
        <v>30</v>
      </c>
      <c r="H24" s="63" t="s">
        <v>152</v>
      </c>
      <c r="I24" s="63" t="s">
        <v>153</v>
      </c>
      <c r="J24" s="63" t="s">
        <v>129</v>
      </c>
      <c r="K24" s="64" t="s">
        <v>102</v>
      </c>
      <c r="L24" s="64"/>
      <c r="M24" s="64"/>
      <c r="N24" s="69"/>
      <c r="O24" s="66">
        <f t="shared" si="2"/>
        <v>46201</v>
      </c>
      <c r="P24" s="67">
        <f t="shared" ca="1" si="3"/>
        <v>11</v>
      </c>
      <c r="Q24" s="68" t="str">
        <f>IF(OR($A24="",$D24=""),"",IF((COUNTIFS('📋 May 2026'!$B$5:$B$60,$A24,'📋 May 2026'!$C$5:$C$60,"&lt;"&amp;$D24)+COUNTIFS('📋 Jun 2026'!$B$5:$B$60,$A24,'📋 Jun 2026'!$C$5:$C$60,"&lt;"&amp;$D24)+COUNTIFS('📋 Jul 2026'!$B$5:$B$60,$A24,'📋 Jul 2026'!$C$5:$C$60,"&lt;"&amp;$D24)+COUNTIFS('📋 Aug 2026'!$B$5:$B$60,$A24,'📋 Aug 2026'!$C$5:$C$60,"&lt;"&amp;$D24)+COUNTIFS('📋 Sep 2026'!$B$5:$B$60,$A24,'📋 Sep 2026'!$C$5:$C$60,"&lt;"&amp;$D24)+COUNTIFS('📋 Oct 2026'!$B$5:$B$60,$A24,'📋 Oct 2026'!$C$5:$C$60,"&lt;"&amp;$D24)+COUNTIFS('📋 Nov 2026'!$B$5:$B$60,$A24,'📋 Nov 2026'!$C$5:$C$60,"&lt;"&amp;$D24)+COUNTIFS('📋 Dec 2026'!$B$5:$B$60,$A24,'📋 Dec 2026'!$C$5:$C$60,"&lt;"&amp;$D24))+(COUNTIFS('📋 May 2026'!$B$5:$B$60,$A24,'📋 May 2026'!$AB$5:$AB$60,"Alumni")+COUNTIFS('📋 Jun 2026'!$B$5:$B$60,$A24,'📋 Jun 2026'!$AB$5:$AB$60,"Alumni")+COUNTIFS('📋 Jul 2026'!$B$5:$B$60,$A24,'📋 Jul 2026'!$AB$5:$AB$60,"Alumni")+COUNTIFS('📋 Aug 2026'!$B$5:$B$60,$A24,'📋 Aug 2026'!$AB$5:$AB$60,"Alumni")+COUNTIFS('📋 Sep 2026'!$B$5:$B$60,$A24,'📋 Sep 2026'!$AB$5:$AB$60,"Alumni")+COUNTIFS('📋 Oct 2026'!$B$5:$B$60,$A24,'📋 Oct 2026'!$AB$5:$AB$60,"Alumni")+COUNTIFS('📋 Nov 2026'!$B$5:$B$60,$A24,'📋 Nov 2026'!$AB$5:$AB$60,"Alumni")+COUNTIFS('📋 Dec 2026'!$B$5:$B$60,$A24,'📋 Dec 2026'!$AB$5:$AB$60,"Alumni"))&gt;=1,"Alumni","New"))</f>
        <v>New</v>
      </c>
    </row>
    <row r="25" spans="1:17" ht="15.75" customHeight="1">
      <c r="A25" s="63"/>
      <c r="B25" s="64" t="s">
        <v>154</v>
      </c>
      <c r="C25" s="64"/>
      <c r="D25" s="65"/>
      <c r="E25" s="64"/>
      <c r="F25" s="64"/>
      <c r="G25" s="64"/>
      <c r="H25" s="63"/>
      <c r="I25" s="63"/>
      <c r="J25" s="63"/>
      <c r="K25" s="64"/>
      <c r="L25" s="64"/>
      <c r="M25" s="64"/>
      <c r="N25" s="63"/>
      <c r="O25" s="66" t="str">
        <f t="shared" si="2"/>
        <v/>
      </c>
      <c r="P25" s="67" t="str">
        <f t="shared" ca="1" si="3"/>
        <v/>
      </c>
      <c r="Q25" s="68" t="str">
        <f>IF(OR($A25="",$D25=""),"",IF((COUNTIFS('📋 May 2026'!$B$5:$B$60,$A25,'📋 May 2026'!$C$5:$C$60,"&lt;"&amp;$D25)+COUNTIFS('📋 Jun 2026'!$B$5:$B$60,$A25,'📋 Jun 2026'!$C$5:$C$60,"&lt;"&amp;$D25)+COUNTIFS('📋 Jul 2026'!$B$5:$B$60,$A25,'📋 Jul 2026'!$C$5:$C$60,"&lt;"&amp;$D25)+COUNTIFS('📋 Aug 2026'!$B$5:$B$60,$A25,'📋 Aug 2026'!$C$5:$C$60,"&lt;"&amp;$D25)+COUNTIFS('📋 Sep 2026'!$B$5:$B$60,$A25,'📋 Sep 2026'!$C$5:$C$60,"&lt;"&amp;$D25)+COUNTIFS('📋 Oct 2026'!$B$5:$B$60,$A25,'📋 Oct 2026'!$C$5:$C$60,"&lt;"&amp;$D25)+COUNTIFS('📋 Nov 2026'!$B$5:$B$60,$A25,'📋 Nov 2026'!$C$5:$C$60,"&lt;"&amp;$D25)+COUNTIFS('📋 Dec 2026'!$B$5:$B$60,$A25,'📋 Dec 2026'!$C$5:$C$60,"&lt;"&amp;$D25))+(COUNTIFS('📋 May 2026'!$B$5:$B$60,$A25,'📋 May 2026'!$AB$5:$AB$60,"Alumni")+COUNTIFS('📋 Jun 2026'!$B$5:$B$60,$A25,'📋 Jun 2026'!$AB$5:$AB$60,"Alumni")+COUNTIFS('📋 Jul 2026'!$B$5:$B$60,$A25,'📋 Jul 2026'!$AB$5:$AB$60,"Alumni")+COUNTIFS('📋 Aug 2026'!$B$5:$B$60,$A25,'📋 Aug 2026'!$AB$5:$AB$60,"Alumni")+COUNTIFS('📋 Sep 2026'!$B$5:$B$60,$A25,'📋 Sep 2026'!$AB$5:$AB$60,"Alumni")+COUNTIFS('📋 Oct 2026'!$B$5:$B$60,$A25,'📋 Oct 2026'!$AB$5:$AB$60,"Alumni")+COUNTIFS('📋 Nov 2026'!$B$5:$B$60,$A25,'📋 Nov 2026'!$AB$5:$AB$60,"Alumni")+COUNTIFS('📋 Dec 2026'!$B$5:$B$60,$A25,'📋 Dec 2026'!$AB$5:$AB$60,"Alumni"))&gt;=1,"Alumni","New"))</f>
        <v/>
      </c>
    </row>
    <row r="26" spans="1:17" ht="15.75" customHeight="1">
      <c r="A26" s="63" t="s">
        <v>155</v>
      </c>
      <c r="B26" s="64" t="s">
        <v>156</v>
      </c>
      <c r="C26" s="64" t="s">
        <v>36</v>
      </c>
      <c r="D26" s="65">
        <v>46175</v>
      </c>
      <c r="E26" s="64" t="s">
        <v>98</v>
      </c>
      <c r="F26" s="64" t="s">
        <v>98</v>
      </c>
      <c r="G26" s="64">
        <v>30</v>
      </c>
      <c r="H26" s="63" t="s">
        <v>99</v>
      </c>
      <c r="I26" s="63" t="s">
        <v>157</v>
      </c>
      <c r="J26" s="63" t="s">
        <v>101</v>
      </c>
      <c r="K26" s="64" t="s">
        <v>102</v>
      </c>
      <c r="L26" s="64"/>
      <c r="M26" s="64"/>
      <c r="N26" s="69"/>
      <c r="O26" s="66">
        <f t="shared" si="2"/>
        <v>46205</v>
      </c>
      <c r="P26" s="67">
        <f t="shared" ca="1" si="3"/>
        <v>15</v>
      </c>
      <c r="Q26" s="68" t="str">
        <f>IF(OR($A26="",$D26=""),"",IF((COUNTIFS('📋 May 2026'!$B$5:$B$60,$A26,'📋 May 2026'!$C$5:$C$60,"&lt;"&amp;$D26)+COUNTIFS('📋 Jun 2026'!$B$5:$B$60,$A26,'📋 Jun 2026'!$C$5:$C$60,"&lt;"&amp;$D26)+COUNTIFS('📋 Jul 2026'!$B$5:$B$60,$A26,'📋 Jul 2026'!$C$5:$C$60,"&lt;"&amp;$D26)+COUNTIFS('📋 Aug 2026'!$B$5:$B$60,$A26,'📋 Aug 2026'!$C$5:$C$60,"&lt;"&amp;$D26)+COUNTIFS('📋 Sep 2026'!$B$5:$B$60,$A26,'📋 Sep 2026'!$C$5:$C$60,"&lt;"&amp;$D26)+COUNTIFS('📋 Oct 2026'!$B$5:$B$60,$A26,'📋 Oct 2026'!$C$5:$C$60,"&lt;"&amp;$D26)+COUNTIFS('📋 Nov 2026'!$B$5:$B$60,$A26,'📋 Nov 2026'!$C$5:$C$60,"&lt;"&amp;$D26)+COUNTIFS('📋 Dec 2026'!$B$5:$B$60,$A26,'📋 Dec 2026'!$C$5:$C$60,"&lt;"&amp;$D26))+(COUNTIFS('📋 May 2026'!$B$5:$B$60,$A26,'📋 May 2026'!$AB$5:$AB$60,"Alumni")+COUNTIFS('📋 Jun 2026'!$B$5:$B$60,$A26,'📋 Jun 2026'!$AB$5:$AB$60,"Alumni")+COUNTIFS('📋 Jul 2026'!$B$5:$B$60,$A26,'📋 Jul 2026'!$AB$5:$AB$60,"Alumni")+COUNTIFS('📋 Aug 2026'!$B$5:$B$60,$A26,'📋 Aug 2026'!$AB$5:$AB$60,"Alumni")+COUNTIFS('📋 Sep 2026'!$B$5:$B$60,$A26,'📋 Sep 2026'!$AB$5:$AB$60,"Alumni")+COUNTIFS('📋 Oct 2026'!$B$5:$B$60,$A26,'📋 Oct 2026'!$AB$5:$AB$60,"Alumni")+COUNTIFS('📋 Nov 2026'!$B$5:$B$60,$A26,'📋 Nov 2026'!$AB$5:$AB$60,"Alumni")+COUNTIFS('📋 Dec 2026'!$B$5:$B$60,$A26,'📋 Dec 2026'!$AB$5:$AB$60,"Alumni"))&gt;=1,"Alumni","New"))</f>
        <v>New</v>
      </c>
    </row>
    <row r="27" spans="1:17" ht="15.75" customHeight="1">
      <c r="A27" s="291" t="s">
        <v>158</v>
      </c>
      <c r="B27" s="291"/>
      <c r="C27" s="291"/>
      <c r="D27" s="291"/>
      <c r="E27" s="291"/>
      <c r="F27" s="291"/>
      <c r="G27" s="291"/>
      <c r="H27" s="291"/>
      <c r="I27" s="291"/>
      <c r="J27" s="291"/>
      <c r="K27" s="291"/>
      <c r="L27" s="291"/>
      <c r="M27" s="291"/>
      <c r="N27" s="291"/>
      <c r="O27" s="291"/>
      <c r="P27" s="291"/>
    </row>
    <row r="28" spans="1:17" ht="15" customHeight="1">
      <c r="A28" s="63" t="s">
        <v>159</v>
      </c>
      <c r="B28" s="64" t="s">
        <v>160</v>
      </c>
      <c r="C28" s="64" t="s">
        <v>6</v>
      </c>
      <c r="D28" s="65">
        <v>46192</v>
      </c>
      <c r="E28" s="64" t="s">
        <v>98</v>
      </c>
      <c r="F28" s="64"/>
      <c r="G28" s="64">
        <v>30</v>
      </c>
      <c r="H28" s="63" t="s">
        <v>161</v>
      </c>
      <c r="I28" s="63" t="s">
        <v>128</v>
      </c>
      <c r="J28" s="63" t="s">
        <v>101</v>
      </c>
      <c r="K28" s="64"/>
      <c r="L28" s="64"/>
      <c r="M28" s="64"/>
      <c r="N28" s="69"/>
      <c r="O28" s="71">
        <f t="shared" ref="O28:O33" si="4">IF($A28="","",IF($N28&lt;&gt;"",$N28,IF(AND($D28&lt;&gt;"",$G28&lt;&gt;""),$D28+$G28,"")))</f>
        <v>46222</v>
      </c>
      <c r="P28">
        <f t="shared" ref="P28:P33" ca="1" si="5">IF(O28="","",O28-TODAY())</f>
        <v>32</v>
      </c>
      <c r="Q28" s="68" t="str">
        <f>IF(OR($A28="",$D28=""),"",IF((COUNTIFS('📋 May 2026'!$B$5:$B$60,$A28,'📋 May 2026'!$C$5:$C$60,"&lt;"&amp;$D28)+COUNTIFS('📋 Jun 2026'!$B$5:$B$60,$A28,'📋 Jun 2026'!$C$5:$C$60,"&lt;"&amp;$D28)+COUNTIFS('📋 Jul 2026'!$B$5:$B$60,$A28,'📋 Jul 2026'!$C$5:$C$60,"&lt;"&amp;$D28)+COUNTIFS('📋 Aug 2026'!$B$5:$B$60,$A28,'📋 Aug 2026'!$C$5:$C$60,"&lt;"&amp;$D28)+COUNTIFS('📋 Sep 2026'!$B$5:$B$60,$A28,'📋 Sep 2026'!$C$5:$C$60,"&lt;"&amp;$D28)+COUNTIFS('📋 Oct 2026'!$B$5:$B$60,$A28,'📋 Oct 2026'!$C$5:$C$60,"&lt;"&amp;$D28)+COUNTIFS('📋 Nov 2026'!$B$5:$B$60,$A28,'📋 Nov 2026'!$C$5:$C$60,"&lt;"&amp;$D28)+COUNTIFS('📋 Dec 2026'!$B$5:$B$60,$A28,'📋 Dec 2026'!$C$5:$C$60,"&lt;"&amp;$D28))+(COUNTIFS('📋 May 2026'!$B$5:$B$60,$A28,'📋 May 2026'!$AB$5:$AB$60,"Alumni")+COUNTIFS('📋 Jun 2026'!$B$5:$B$60,$A28,'📋 Jun 2026'!$AB$5:$AB$60,"Alumni")+COUNTIFS('📋 Jul 2026'!$B$5:$B$60,$A28,'📋 Jul 2026'!$AB$5:$AB$60,"Alumni")+COUNTIFS('📋 Aug 2026'!$B$5:$B$60,$A28,'📋 Aug 2026'!$AB$5:$AB$60,"Alumni")+COUNTIFS('📋 Sep 2026'!$B$5:$B$60,$A28,'📋 Sep 2026'!$AB$5:$AB$60,"Alumni")+COUNTIFS('📋 Oct 2026'!$B$5:$B$60,$A28,'📋 Oct 2026'!$AB$5:$AB$60,"Alumni")+COUNTIFS('📋 Nov 2026'!$B$5:$B$60,$A28,'📋 Nov 2026'!$AB$5:$AB$60,"Alumni")+COUNTIFS('📋 Dec 2026'!$B$5:$B$60,$A28,'📋 Dec 2026'!$AB$5:$AB$60,"Alumni"))&gt;=1,"Alumni","New"))</f>
        <v>New</v>
      </c>
    </row>
    <row r="29" spans="1:17" ht="15" customHeight="1">
      <c r="A29" s="63"/>
      <c r="B29" s="64" t="s">
        <v>162</v>
      </c>
      <c r="C29" s="64"/>
      <c r="D29" s="65"/>
      <c r="E29" s="64"/>
      <c r="F29" s="64"/>
      <c r="G29" s="64"/>
      <c r="H29" s="63"/>
      <c r="I29" s="63"/>
      <c r="J29" s="63"/>
      <c r="K29" s="64"/>
      <c r="L29" s="64"/>
      <c r="M29" s="64"/>
      <c r="N29" s="63"/>
      <c r="O29" t="str">
        <f t="shared" si="4"/>
        <v/>
      </c>
      <c r="P29" t="str">
        <f t="shared" ca="1" si="5"/>
        <v/>
      </c>
      <c r="Q29" s="68" t="str">
        <f>IF(OR($A29="",$D29=""),"",IF((COUNTIFS('📋 May 2026'!$B$5:$B$60,$A29,'📋 May 2026'!$C$5:$C$60,"&lt;"&amp;$D29)+COUNTIFS('📋 Jun 2026'!$B$5:$B$60,$A29,'📋 Jun 2026'!$C$5:$C$60,"&lt;"&amp;$D29)+COUNTIFS('📋 Jul 2026'!$B$5:$B$60,$A29,'📋 Jul 2026'!$C$5:$C$60,"&lt;"&amp;$D29)+COUNTIFS('📋 Aug 2026'!$B$5:$B$60,$A29,'📋 Aug 2026'!$C$5:$C$60,"&lt;"&amp;$D29)+COUNTIFS('📋 Sep 2026'!$B$5:$B$60,$A29,'📋 Sep 2026'!$C$5:$C$60,"&lt;"&amp;$D29)+COUNTIFS('📋 Oct 2026'!$B$5:$B$60,$A29,'📋 Oct 2026'!$C$5:$C$60,"&lt;"&amp;$D29)+COUNTIFS('📋 Nov 2026'!$B$5:$B$60,$A29,'📋 Nov 2026'!$C$5:$C$60,"&lt;"&amp;$D29)+COUNTIFS('📋 Dec 2026'!$B$5:$B$60,$A29,'📋 Dec 2026'!$C$5:$C$60,"&lt;"&amp;$D29))+(COUNTIFS('📋 May 2026'!$B$5:$B$60,$A29,'📋 May 2026'!$AB$5:$AB$60,"Alumni")+COUNTIFS('📋 Jun 2026'!$B$5:$B$60,$A29,'📋 Jun 2026'!$AB$5:$AB$60,"Alumni")+COUNTIFS('📋 Jul 2026'!$B$5:$B$60,$A29,'📋 Jul 2026'!$AB$5:$AB$60,"Alumni")+COUNTIFS('📋 Aug 2026'!$B$5:$B$60,$A29,'📋 Aug 2026'!$AB$5:$AB$60,"Alumni")+COUNTIFS('📋 Sep 2026'!$B$5:$B$60,$A29,'📋 Sep 2026'!$AB$5:$AB$60,"Alumni")+COUNTIFS('📋 Oct 2026'!$B$5:$B$60,$A29,'📋 Oct 2026'!$AB$5:$AB$60,"Alumni")+COUNTIFS('📋 Nov 2026'!$B$5:$B$60,$A29,'📋 Nov 2026'!$AB$5:$AB$60,"Alumni")+COUNTIFS('📋 Dec 2026'!$B$5:$B$60,$A29,'📋 Dec 2026'!$AB$5:$AB$60,"Alumni"))&gt;=1,"Alumni","New"))</f>
        <v/>
      </c>
    </row>
    <row r="30" spans="1:17" ht="15" customHeight="1">
      <c r="A30" s="63" t="s">
        <v>163</v>
      </c>
      <c r="B30" s="64" t="s">
        <v>164</v>
      </c>
      <c r="C30" s="64" t="s">
        <v>36</v>
      </c>
      <c r="D30" s="65">
        <v>46182</v>
      </c>
      <c r="E30" s="64" t="s">
        <v>98</v>
      </c>
      <c r="F30" s="64" t="s">
        <v>126</v>
      </c>
      <c r="G30" s="64">
        <v>30</v>
      </c>
      <c r="H30" s="63" t="s">
        <v>105</v>
      </c>
      <c r="I30" s="63" t="s">
        <v>106</v>
      </c>
      <c r="J30" s="63" t="s">
        <v>107</v>
      </c>
      <c r="K30" s="64"/>
      <c r="L30" s="64"/>
      <c r="M30" s="64"/>
      <c r="N30" s="69"/>
      <c r="O30" s="71">
        <f t="shared" si="4"/>
        <v>46212</v>
      </c>
      <c r="P30">
        <f t="shared" ca="1" si="5"/>
        <v>22</v>
      </c>
      <c r="Q30" s="68" t="str">
        <f>IF(OR($A30="",$D30=""),"",IF((COUNTIFS('📋 May 2026'!$B$5:$B$60,$A30,'📋 May 2026'!$C$5:$C$60,"&lt;"&amp;$D30)+COUNTIFS('📋 Jun 2026'!$B$5:$B$60,$A30,'📋 Jun 2026'!$C$5:$C$60,"&lt;"&amp;$D30)+COUNTIFS('📋 Jul 2026'!$B$5:$B$60,$A30,'📋 Jul 2026'!$C$5:$C$60,"&lt;"&amp;$D30)+COUNTIFS('📋 Aug 2026'!$B$5:$B$60,$A30,'📋 Aug 2026'!$C$5:$C$60,"&lt;"&amp;$D30)+COUNTIFS('📋 Sep 2026'!$B$5:$B$60,$A30,'📋 Sep 2026'!$C$5:$C$60,"&lt;"&amp;$D30)+COUNTIFS('📋 Oct 2026'!$B$5:$B$60,$A30,'📋 Oct 2026'!$C$5:$C$60,"&lt;"&amp;$D30)+COUNTIFS('📋 Nov 2026'!$B$5:$B$60,$A30,'📋 Nov 2026'!$C$5:$C$60,"&lt;"&amp;$D30)+COUNTIFS('📋 Dec 2026'!$B$5:$B$60,$A30,'📋 Dec 2026'!$C$5:$C$60,"&lt;"&amp;$D30))+(COUNTIFS('📋 May 2026'!$B$5:$B$60,$A30,'📋 May 2026'!$AB$5:$AB$60,"Alumni")+COUNTIFS('📋 Jun 2026'!$B$5:$B$60,$A30,'📋 Jun 2026'!$AB$5:$AB$60,"Alumni")+COUNTIFS('📋 Jul 2026'!$B$5:$B$60,$A30,'📋 Jul 2026'!$AB$5:$AB$60,"Alumni")+COUNTIFS('📋 Aug 2026'!$B$5:$B$60,$A30,'📋 Aug 2026'!$AB$5:$AB$60,"Alumni")+COUNTIFS('📋 Sep 2026'!$B$5:$B$60,$A30,'📋 Sep 2026'!$AB$5:$AB$60,"Alumni")+COUNTIFS('📋 Oct 2026'!$B$5:$B$60,$A30,'📋 Oct 2026'!$AB$5:$AB$60,"Alumni")+COUNTIFS('📋 Nov 2026'!$B$5:$B$60,$A30,'📋 Nov 2026'!$AB$5:$AB$60,"Alumni")+COUNTIFS('📋 Dec 2026'!$B$5:$B$60,$A30,'📋 Dec 2026'!$AB$5:$AB$60,"Alumni"))&gt;=1,"Alumni","New"))</f>
        <v>New</v>
      </c>
    </row>
    <row r="31" spans="1:17" ht="15" customHeight="1">
      <c r="A31" s="63" t="s">
        <v>165</v>
      </c>
      <c r="B31" s="64" t="s">
        <v>166</v>
      </c>
      <c r="C31" s="64" t="s">
        <v>36</v>
      </c>
      <c r="D31" s="65">
        <v>46186</v>
      </c>
      <c r="E31" s="64" t="s">
        <v>98</v>
      </c>
      <c r="F31" s="64"/>
      <c r="G31" s="64">
        <v>30</v>
      </c>
      <c r="H31" s="63" t="s">
        <v>167</v>
      </c>
      <c r="I31" s="63" t="s">
        <v>106</v>
      </c>
      <c r="J31" s="63" t="s">
        <v>101</v>
      </c>
      <c r="K31" s="64" t="s">
        <v>102</v>
      </c>
      <c r="L31" s="64"/>
      <c r="M31" s="64"/>
      <c r="N31" s="63"/>
      <c r="O31" s="72">
        <f t="shared" si="4"/>
        <v>46216</v>
      </c>
      <c r="P31">
        <f t="shared" ca="1" si="5"/>
        <v>26</v>
      </c>
      <c r="Q31" s="68" t="str">
        <f>IF(OR($A31="",$D31=""),"",IF((COUNTIFS('📋 May 2026'!$B$5:$B$60,$A31,'📋 May 2026'!$C$5:$C$60,"&lt;"&amp;$D31)+COUNTIFS('📋 Jun 2026'!$B$5:$B$60,$A31,'📋 Jun 2026'!$C$5:$C$60,"&lt;"&amp;$D31)+COUNTIFS('📋 Jul 2026'!$B$5:$B$60,$A31,'📋 Jul 2026'!$C$5:$C$60,"&lt;"&amp;$D31)+COUNTIFS('📋 Aug 2026'!$B$5:$B$60,$A31,'📋 Aug 2026'!$C$5:$C$60,"&lt;"&amp;$D31)+COUNTIFS('📋 Sep 2026'!$B$5:$B$60,$A31,'📋 Sep 2026'!$C$5:$C$60,"&lt;"&amp;$D31)+COUNTIFS('📋 Oct 2026'!$B$5:$B$60,$A31,'📋 Oct 2026'!$C$5:$C$60,"&lt;"&amp;$D31)+COUNTIFS('📋 Nov 2026'!$B$5:$B$60,$A31,'📋 Nov 2026'!$C$5:$C$60,"&lt;"&amp;$D31)+COUNTIFS('📋 Dec 2026'!$B$5:$B$60,$A31,'📋 Dec 2026'!$C$5:$C$60,"&lt;"&amp;$D31))+(COUNTIFS('📋 May 2026'!$B$5:$B$60,$A31,'📋 May 2026'!$AB$5:$AB$60,"Alumni")+COUNTIFS('📋 Jun 2026'!$B$5:$B$60,$A31,'📋 Jun 2026'!$AB$5:$AB$60,"Alumni")+COUNTIFS('📋 Jul 2026'!$B$5:$B$60,$A31,'📋 Jul 2026'!$AB$5:$AB$60,"Alumni")+COUNTIFS('📋 Aug 2026'!$B$5:$B$60,$A31,'📋 Aug 2026'!$AB$5:$AB$60,"Alumni")+COUNTIFS('📋 Sep 2026'!$B$5:$B$60,$A31,'📋 Sep 2026'!$AB$5:$AB$60,"Alumni")+COUNTIFS('📋 Oct 2026'!$B$5:$B$60,$A31,'📋 Oct 2026'!$AB$5:$AB$60,"Alumni")+COUNTIFS('📋 Nov 2026'!$B$5:$B$60,$A31,'📋 Nov 2026'!$AB$5:$AB$60,"Alumni")+COUNTIFS('📋 Dec 2026'!$B$5:$B$60,$A31,'📋 Dec 2026'!$AB$5:$AB$60,"Alumni"))&gt;=1,"Alumni","New"))</f>
        <v>Alumni</v>
      </c>
    </row>
    <row r="32" spans="1:17" ht="15" customHeight="1">
      <c r="A32" s="63" t="s">
        <v>121</v>
      </c>
      <c r="B32" s="64" t="s">
        <v>168</v>
      </c>
      <c r="C32" s="64" t="s">
        <v>36</v>
      </c>
      <c r="D32" s="65">
        <v>46186</v>
      </c>
      <c r="E32" s="64" t="s">
        <v>98</v>
      </c>
      <c r="F32" s="64"/>
      <c r="G32" s="64">
        <v>30</v>
      </c>
      <c r="H32" s="63" t="s">
        <v>123</v>
      </c>
      <c r="I32" s="63" t="s">
        <v>117</v>
      </c>
      <c r="J32" s="63" t="s">
        <v>107</v>
      </c>
      <c r="K32" s="64" t="s">
        <v>169</v>
      </c>
      <c r="L32" s="64"/>
      <c r="M32" s="64"/>
      <c r="N32" s="63"/>
      <c r="O32" s="72">
        <f t="shared" si="4"/>
        <v>46216</v>
      </c>
      <c r="P32">
        <f t="shared" ca="1" si="5"/>
        <v>26</v>
      </c>
      <c r="Q32" s="68" t="str">
        <f>IF(OR($A32="",$D32=""),"",IF((COUNTIFS('📋 May 2026'!$B$5:$B$60,$A32,'📋 May 2026'!$C$5:$C$60,"&lt;"&amp;$D32)+COUNTIFS('📋 Jun 2026'!$B$5:$B$60,$A32,'📋 Jun 2026'!$C$5:$C$60,"&lt;"&amp;$D32)+COUNTIFS('📋 Jul 2026'!$B$5:$B$60,$A32,'📋 Jul 2026'!$C$5:$C$60,"&lt;"&amp;$D32)+COUNTIFS('📋 Aug 2026'!$B$5:$B$60,$A32,'📋 Aug 2026'!$C$5:$C$60,"&lt;"&amp;$D32)+COUNTIFS('📋 Sep 2026'!$B$5:$B$60,$A32,'📋 Sep 2026'!$C$5:$C$60,"&lt;"&amp;$D32)+COUNTIFS('📋 Oct 2026'!$B$5:$B$60,$A32,'📋 Oct 2026'!$C$5:$C$60,"&lt;"&amp;$D32)+COUNTIFS('📋 Nov 2026'!$B$5:$B$60,$A32,'📋 Nov 2026'!$C$5:$C$60,"&lt;"&amp;$D32)+COUNTIFS('📋 Dec 2026'!$B$5:$B$60,$A32,'📋 Dec 2026'!$C$5:$C$60,"&lt;"&amp;$D32))+(COUNTIFS('📋 May 2026'!$B$5:$B$60,$A32,'📋 May 2026'!$AB$5:$AB$60,"Alumni")+COUNTIFS('📋 Jun 2026'!$B$5:$B$60,$A32,'📋 Jun 2026'!$AB$5:$AB$60,"Alumni")+COUNTIFS('📋 Jul 2026'!$B$5:$B$60,$A32,'📋 Jul 2026'!$AB$5:$AB$60,"Alumni")+COUNTIFS('📋 Aug 2026'!$B$5:$B$60,$A32,'📋 Aug 2026'!$AB$5:$AB$60,"Alumni")+COUNTIFS('📋 Sep 2026'!$B$5:$B$60,$A32,'📋 Sep 2026'!$AB$5:$AB$60,"Alumni")+COUNTIFS('📋 Oct 2026'!$B$5:$B$60,$A32,'📋 Oct 2026'!$AB$5:$AB$60,"Alumni")+COUNTIFS('📋 Nov 2026'!$B$5:$B$60,$A32,'📋 Nov 2026'!$AB$5:$AB$60,"Alumni")+COUNTIFS('📋 Dec 2026'!$B$5:$B$60,$A32,'📋 Dec 2026'!$AB$5:$AB$60,"Alumni"))&gt;=1,"Alumni","New"))</f>
        <v>Alumni</v>
      </c>
    </row>
    <row r="33" spans="1:17" ht="15" customHeight="1">
      <c r="A33" s="63" t="s">
        <v>170</v>
      </c>
      <c r="B33" s="64" t="s">
        <v>171</v>
      </c>
      <c r="C33" s="64" t="s">
        <v>36</v>
      </c>
      <c r="D33" s="65">
        <v>46167</v>
      </c>
      <c r="E33" s="64" t="s">
        <v>126</v>
      </c>
      <c r="F33" s="64" t="s">
        <v>126</v>
      </c>
      <c r="G33" s="64">
        <v>30</v>
      </c>
      <c r="H33" s="63" t="s">
        <v>112</v>
      </c>
      <c r="I33" s="63" t="s">
        <v>149</v>
      </c>
      <c r="J33" s="63" t="s">
        <v>129</v>
      </c>
      <c r="K33" s="64" t="s">
        <v>113</v>
      </c>
      <c r="L33" s="64"/>
      <c r="M33" s="64"/>
      <c r="N33" s="69">
        <v>46199</v>
      </c>
      <c r="O33" s="72">
        <f t="shared" si="4"/>
        <v>46199</v>
      </c>
      <c r="P33">
        <f t="shared" ca="1" si="5"/>
        <v>9</v>
      </c>
      <c r="Q33" s="68" t="str">
        <f>IF(OR($A33="",$D33=""),"",IF((COUNTIFS('📋 May 2026'!$B$5:$B$60,$A33,'📋 May 2026'!$C$5:$C$60,"&lt;"&amp;$D33)+COUNTIFS('📋 Jun 2026'!$B$5:$B$60,$A33,'📋 Jun 2026'!$C$5:$C$60,"&lt;"&amp;$D33)+COUNTIFS('📋 Jul 2026'!$B$5:$B$60,$A33,'📋 Jul 2026'!$C$5:$C$60,"&lt;"&amp;$D33)+COUNTIFS('📋 Aug 2026'!$B$5:$B$60,$A33,'📋 Aug 2026'!$C$5:$C$60,"&lt;"&amp;$D33)+COUNTIFS('📋 Sep 2026'!$B$5:$B$60,$A33,'📋 Sep 2026'!$C$5:$C$60,"&lt;"&amp;$D33)+COUNTIFS('📋 Oct 2026'!$B$5:$B$60,$A33,'📋 Oct 2026'!$C$5:$C$60,"&lt;"&amp;$D33)+COUNTIFS('📋 Nov 2026'!$B$5:$B$60,$A33,'📋 Nov 2026'!$C$5:$C$60,"&lt;"&amp;$D33)+COUNTIFS('📋 Dec 2026'!$B$5:$B$60,$A33,'📋 Dec 2026'!$C$5:$C$60,"&lt;"&amp;$D33))+(COUNTIFS('📋 May 2026'!$B$5:$B$60,$A33,'📋 May 2026'!$AB$5:$AB$60,"Alumni")+COUNTIFS('📋 Jun 2026'!$B$5:$B$60,$A33,'📋 Jun 2026'!$AB$5:$AB$60,"Alumni")+COUNTIFS('📋 Jul 2026'!$B$5:$B$60,$A33,'📋 Jul 2026'!$AB$5:$AB$60,"Alumni")+COUNTIFS('📋 Aug 2026'!$B$5:$B$60,$A33,'📋 Aug 2026'!$AB$5:$AB$60,"Alumni")+COUNTIFS('📋 Sep 2026'!$B$5:$B$60,$A33,'📋 Sep 2026'!$AB$5:$AB$60,"Alumni")+COUNTIFS('📋 Oct 2026'!$B$5:$B$60,$A33,'📋 Oct 2026'!$AB$5:$AB$60,"Alumni")+COUNTIFS('📋 Nov 2026'!$B$5:$B$60,$A33,'📋 Nov 2026'!$AB$5:$AB$60,"Alumni")+COUNTIFS('📋 Dec 2026'!$B$5:$B$60,$A33,'📋 Dec 2026'!$AB$5:$AB$60,"Alumni"))&gt;=1,"Alumni","New"))</f>
        <v>New</v>
      </c>
    </row>
    <row r="34" spans="1:17" ht="15" customHeight="1"/>
    <row r="35" spans="1:17" ht="15" customHeight="1"/>
    <row r="36" spans="1:17" ht="15" customHeight="1"/>
    <row r="37" spans="1:17" ht="15" customHeight="1"/>
    <row r="38" spans="1:17" ht="15" customHeight="1"/>
    <row r="39" spans="1:17" ht="15" customHeight="1"/>
    <row r="40" spans="1:17" ht="15" customHeight="1"/>
    <row r="41" spans="1:17" ht="15" customHeight="1"/>
    <row r="42" spans="1:17" ht="15" customHeight="1"/>
    <row r="43" spans="1:17" ht="15" customHeight="1"/>
    <row r="44" spans="1:17" ht="15" customHeight="1"/>
    <row r="45" spans="1:17" ht="15" customHeight="1"/>
    <row r="46" spans="1:17" ht="15" customHeight="1"/>
    <row r="47" spans="1:17" ht="15" customHeight="1"/>
    <row r="48" spans="1:17" ht="15" customHeight="1"/>
    <row r="49" ht="15" customHeight="1"/>
    <row r="50" ht="15" customHeight="1"/>
    <row r="51" ht="15" customHeight="1"/>
    <row r="52" ht="15" customHeight="1"/>
    <row r="53" ht="15" customHeight="1"/>
  </sheetData>
  <mergeCells count="5">
    <mergeCell ref="A1:P1"/>
    <mergeCell ref="A2:P2"/>
    <mergeCell ref="A4:P4"/>
    <mergeCell ref="A20:P20"/>
    <mergeCell ref="A27:P27"/>
  </mergeCells>
  <conditionalFormatting sqref="A4:A53">
    <cfRule type="expression" dxfId="55" priority="4">
      <formula>AND($A4&lt;&gt;"",COUNTIF(DO_NOT_READMIT,$A4)&gt;0)</formula>
    </cfRule>
  </conditionalFormatting>
  <conditionalFormatting sqref="B4:B53">
    <cfRule type="expression" dxfId="54" priority="2">
      <formula>AND($B4&lt;&gt;"",COUNTIF($B$4:$B$53,$B4)&gt;1)</formula>
    </cfRule>
    <cfRule type="expression" dxfId="53" priority="3">
      <formula>AND($B4&lt;&gt;"",COUNTIF(ALL_BEDS,$B4)=0)</formula>
    </cfRule>
  </conditionalFormatting>
  <conditionalFormatting sqref="H4:H53">
    <cfRule type="expression" dxfId="52" priority="5">
      <formula>COUNTIF(NON_CONTRACTED,$H4)&gt;0</formula>
    </cfRule>
  </conditionalFormatting>
  <dataValidations count="8">
    <dataValidation type="list" allowBlank="1" sqref="B4:B53" xr:uid="{00000000-0002-0000-0200-000000000000}">
      <formula1>ALL_BEDS</formula1>
      <formula2>0</formula2>
    </dataValidation>
    <dataValidation type="list" allowBlank="1" sqref="C4:C53" xr:uid="{00000000-0002-0000-0200-000001000000}">
      <formula1>"Occupied,Reserved"</formula1>
      <formula2>0</formula2>
    </dataValidation>
    <dataValidation type="list" allowBlank="1" sqref="E4:F53 M4:M53" xr:uid="{00000000-0002-0000-0200-000002000000}">
      <formula1>LOC</formula1>
      <formula2>0</formula2>
    </dataValidation>
    <dataValidation type="list" allowBlank="1" sqref="G4:G53" xr:uid="{00000000-0002-0000-0200-000003000000}">
      <formula1>PLAN_LOS</formula1>
      <formula2>0</formula2>
    </dataValidation>
    <dataValidation type="list" allowBlank="1" sqref="H4:H53" xr:uid="{00000000-0002-0000-0200-000004000000}">
      <formula1>INSURANCE_OK</formula1>
      <formula2>0</formula2>
    </dataValidation>
    <dataValidation type="list" allowBlank="1" sqref="J4:J53" xr:uid="{00000000-0002-0000-0200-000005000000}">
      <formula1>ACTIVE_REPS</formula1>
      <formula2>0</formula2>
    </dataValidation>
    <dataValidation type="list" allowBlank="1" sqref="K4:L53" xr:uid="{00000000-0002-0000-0200-000006000000}">
      <formula1>YESNO</formula1>
      <formula2>0</formula2>
    </dataValidation>
    <dataValidation type="date" operator="greaterThanOrEqual" allowBlank="1" sqref="N4:N53" xr:uid="{00000000-0002-0000-0200-000007000000}">
      <formula1>1</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7"/>
  <sheetViews>
    <sheetView showGridLines="0" zoomScale="140" zoomScaleNormal="140" workbookViewId="0">
      <pane ySplit="9" topLeftCell="A10" activePane="bottomLeft" state="frozen"/>
      <selection pane="bottomLeft" activeCell="J6" sqref="J6"/>
    </sheetView>
  </sheetViews>
  <sheetFormatPr defaultColWidth="0" defaultRowHeight="15" zeroHeight="1"/>
  <cols>
    <col min="1" max="1" width="20" customWidth="1"/>
    <col min="2" max="2" width="13"/>
    <col min="3" max="3" width="24" customWidth="1"/>
    <col min="4" max="4" width="12" customWidth="1"/>
    <col min="5" max="5" width="11" customWidth="1"/>
    <col min="6" max="6" width="13"/>
    <col min="7" max="7" width="12" customWidth="1"/>
    <col min="8" max="8" width="11" customWidth="1"/>
    <col min="9" max="9" width="10" customWidth="1"/>
    <col min="10" max="10" width="22" customWidth="1"/>
    <col min="11" max="11" width="13"/>
    <col min="12" max="12" width="13" hidden="1"/>
    <col min="13" max="13" width="11" customWidth="1"/>
    <col min="14" max="14" width="13" hidden="1"/>
    <col min="15" max="15" width="9" customWidth="1"/>
    <col min="16" max="16" width="8" hidden="1" customWidth="1"/>
    <col min="17" max="17" width="12" customWidth="1"/>
    <col min="18" max="16384" width="13" hidden="1"/>
  </cols>
  <sheetData>
    <row r="1" spans="1:17" ht="25.5" customHeight="1">
      <c r="A1" s="301" t="s">
        <v>172</v>
      </c>
      <c r="B1" s="301"/>
      <c r="C1" s="301"/>
      <c r="D1" s="301"/>
      <c r="E1" s="301"/>
      <c r="F1" s="301"/>
      <c r="G1" s="301"/>
      <c r="H1" s="301"/>
      <c r="I1" s="301"/>
      <c r="J1" s="301"/>
      <c r="K1" s="301"/>
      <c r="L1" s="301"/>
      <c r="M1" s="301"/>
      <c r="N1" s="301"/>
      <c r="O1" s="301"/>
      <c r="P1" s="301"/>
      <c r="Q1" s="301"/>
    </row>
    <row r="2" spans="1:17" ht="18" customHeight="1">
      <c r="A2" s="73" t="str">
        <f>"Census: "&amp;COUNTIF(B10:B23,"Occupied")&amp;"/14"</f>
        <v>Census: 11/14</v>
      </c>
      <c r="B2" s="70"/>
      <c r="C2" s="73" t="str">
        <f>"Reserved: "&amp;COUNTIF(B10:B23,"Reserved")</f>
        <v>Reserved: 0</v>
      </c>
      <c r="D2" s="70"/>
      <c r="E2" s="73" t="str">
        <f>"Open: "&amp;COUNTIF(B10:B23,"Open")</f>
        <v>Open: 3</v>
      </c>
      <c r="F2" s="70"/>
      <c r="G2" s="73" t="str">
        <f>TEXT(COUNTIF(B10:B23,"Occupied")/14,"0%")&amp;" capacity"</f>
        <v>79% capacity</v>
      </c>
      <c r="H2" s="70"/>
      <c r="I2" s="73" t="str">
        <f ca="1">IFERROR(COUNTIFS(B10:B23,"Occupied",H10:H23,"&gt;="&amp;TODAY(),H10:H23,"&lt;="&amp;TODAY()+7)&amp;" DC within 7 days","0 DC within 7 days")</f>
        <v>2 DC within 7 days</v>
      </c>
      <c r="J2" s="70"/>
      <c r="K2" s="70"/>
      <c r="L2" s="70"/>
      <c r="M2" s="70"/>
    </row>
    <row r="3" spans="1:17" ht="3.75" customHeight="1">
      <c r="A3" s="333"/>
      <c r="B3" s="333"/>
      <c r="C3" s="333"/>
      <c r="D3" s="333"/>
      <c r="E3" s="333"/>
      <c r="F3" s="333"/>
      <c r="G3" s="333"/>
      <c r="H3" s="333"/>
      <c r="I3" s="333"/>
      <c r="J3" s="333"/>
      <c r="K3" s="333"/>
      <c r="L3" s="333"/>
      <c r="M3" s="333"/>
      <c r="N3" s="333"/>
      <c r="O3" s="333"/>
      <c r="P3" s="333"/>
      <c r="Q3" s="333"/>
    </row>
    <row r="4" spans="1:17" ht="15.75" customHeight="1">
      <c r="A4" s="302" t="s">
        <v>173</v>
      </c>
      <c r="B4" s="302"/>
      <c r="C4" s="302"/>
      <c r="D4" s="302"/>
      <c r="E4" s="302"/>
      <c r="F4" s="302"/>
      <c r="G4" s="302"/>
      <c r="H4" s="302"/>
      <c r="I4" s="302"/>
      <c r="J4" s="302"/>
      <c r="K4" s="302"/>
      <c r="L4" s="302"/>
      <c r="M4" s="302"/>
      <c r="N4" s="302"/>
      <c r="O4" s="302"/>
      <c r="P4" s="302"/>
      <c r="Q4" s="302"/>
    </row>
    <row r="5" spans="1:17" ht="4.5" customHeight="1">
      <c r="A5" s="334"/>
      <c r="B5" s="334"/>
      <c r="C5" s="334"/>
      <c r="D5" s="334"/>
      <c r="E5" s="334"/>
      <c r="F5" s="334"/>
      <c r="G5" s="334"/>
      <c r="H5" s="334"/>
      <c r="I5" s="334"/>
      <c r="J5" s="334"/>
      <c r="K5" s="334"/>
      <c r="L5" s="334"/>
      <c r="M5" s="334"/>
      <c r="N5" s="334"/>
      <c r="O5" s="334"/>
      <c r="P5" s="334"/>
      <c r="Q5" s="334"/>
    </row>
    <row r="6" spans="1:17" ht="13.5" customHeight="1">
      <c r="A6" s="74" t="s">
        <v>174</v>
      </c>
      <c r="C6" s="75"/>
      <c r="D6" s="76" t="s">
        <v>175</v>
      </c>
      <c r="E6" s="77"/>
      <c r="G6" s="78" t="s">
        <v>176</v>
      </c>
      <c r="I6" s="79"/>
      <c r="J6" s="80" t="s">
        <v>177</v>
      </c>
      <c r="K6" s="81"/>
      <c r="L6" s="82"/>
      <c r="M6" s="70"/>
    </row>
    <row r="7" spans="1:17" ht="4.5" customHeight="1">
      <c r="A7" s="334"/>
      <c r="B7" s="334"/>
      <c r="C7" s="334"/>
      <c r="D7" s="334"/>
      <c r="E7" s="334"/>
      <c r="F7" s="334"/>
      <c r="G7" s="334"/>
      <c r="H7" s="334"/>
      <c r="I7" s="334"/>
      <c r="J7" s="334"/>
      <c r="K7" s="334"/>
      <c r="L7" s="334"/>
      <c r="M7" s="334"/>
      <c r="N7" s="334"/>
      <c r="O7" s="334"/>
      <c r="P7" s="334"/>
      <c r="Q7" s="334"/>
    </row>
    <row r="8" spans="1:17" ht="4.5" customHeight="1">
      <c r="A8" s="334"/>
      <c r="B8" s="334"/>
      <c r="C8" s="334"/>
      <c r="D8" s="334"/>
      <c r="E8" s="334"/>
      <c r="F8" s="334"/>
      <c r="G8" s="334"/>
      <c r="H8" s="334"/>
      <c r="I8" s="334"/>
      <c r="J8" s="334"/>
      <c r="K8" s="334"/>
      <c r="L8" s="334"/>
      <c r="M8" s="334"/>
      <c r="N8" s="334"/>
      <c r="O8" s="334"/>
      <c r="P8" s="334"/>
      <c r="Q8" s="334"/>
    </row>
    <row r="9" spans="1:17" ht="27.75" customHeight="1">
      <c r="A9" s="83" t="s">
        <v>178</v>
      </c>
      <c r="B9" s="83" t="s">
        <v>78</v>
      </c>
      <c r="C9" s="83" t="s">
        <v>76</v>
      </c>
      <c r="D9" s="83" t="s">
        <v>79</v>
      </c>
      <c r="E9" s="83" t="s">
        <v>80</v>
      </c>
      <c r="F9" s="83" t="s">
        <v>81</v>
      </c>
      <c r="G9" s="83" t="s">
        <v>179</v>
      </c>
      <c r="H9" s="83" t="s">
        <v>90</v>
      </c>
      <c r="I9" s="83" t="s">
        <v>180</v>
      </c>
      <c r="J9" s="83" t="s">
        <v>83</v>
      </c>
      <c r="K9" s="83" t="s">
        <v>84</v>
      </c>
      <c r="L9" s="83" t="s">
        <v>181</v>
      </c>
      <c r="M9" s="83" t="s">
        <v>85</v>
      </c>
      <c r="N9" s="83" t="s">
        <v>182</v>
      </c>
      <c r="O9" s="83" t="s">
        <v>183</v>
      </c>
      <c r="P9" s="84" t="s">
        <v>184</v>
      </c>
      <c r="Q9" s="83" t="s">
        <v>185</v>
      </c>
    </row>
    <row r="10" spans="1:17" ht="24" customHeight="1">
      <c r="A10" s="85" t="s">
        <v>94</v>
      </c>
      <c r="B10" s="85" t="str">
        <f>IF($A10="","",IF(COUNTIF('📝 Roster'!$B:$B,$A10)=0,"Open",IF(IFERROR(INDEX('📝 Roster'!$C:$C,MATCH($A10,'📝 Roster'!$B:$B,0)),"")="","Open",INDEX('📝 Roster'!$C:$C,MATCH($A10,'📝 Roster'!$B:$B,0)))))</f>
        <v>Open</v>
      </c>
      <c r="C10" s="86" t="str">
        <f>IF($B10="Open","",IFERROR(INDEX('📝 Roster'!$A:$A,MATCH($A10,'📝 Roster'!$B:$B,0)),""))</f>
        <v/>
      </c>
      <c r="D10" s="87" t="str">
        <f>IF($B10="Open","",IFERROR(INDEX('📝 Roster'!$D:$D,MATCH($A10,'📝 Roster'!$B:$B,0)),""))</f>
        <v/>
      </c>
      <c r="E10" s="85" t="str">
        <f>IF($B10="Open","",IFERROR(INDEX('📝 Roster'!$E:$E,MATCH($A10,'📝 Roster'!$B:$B,0)),""))</f>
        <v/>
      </c>
      <c r="F10" s="85" t="str">
        <f>IF($B10="Open","",IFERROR(INDEX('📝 Roster'!$F:$F,MATCH($A10,'📝 Roster'!$B:$B,0)),""))</f>
        <v/>
      </c>
      <c r="G10" s="88" t="str">
        <f>IF($B10="Open","",IFERROR(INDEX('📝 Roster'!$G:$G,MATCH($A10,'📝 Roster'!$B:$B,0)),""))</f>
        <v/>
      </c>
      <c r="H10" s="87" t="str">
        <f t="shared" ref="H10:H23" si="0">IF($Q10&lt;&gt;"",$Q10,IF(AND($D10&lt;&gt;"",$G10&lt;&gt;""),INT($D10)+$G10,""))</f>
        <v/>
      </c>
      <c r="I10" s="85" t="str">
        <f t="shared" ref="I10:I23" ca="1" si="1">IF(H10="","",IF(H10&lt;TODAY(),"PAST ("&amp;INT(TODAY()-H10)&amp;"d ago)",IF(H10=TODAY(),"TODAY",INT(H10-TODAY()))))</f>
        <v/>
      </c>
      <c r="J10" s="89" t="str">
        <f>IF($B10="Open","",IFERROR(INDEX('📝 Roster'!$H:$H,MATCH($A10,'📝 Roster'!$B:$B,0)),""))</f>
        <v/>
      </c>
      <c r="K10" s="89" t="str">
        <f>IF($B10="Open","",IFERROR(INDEX('📝 Roster'!$I:$I,MATCH($A10,'📝 Roster'!$B:$B,0)),""))</f>
        <v/>
      </c>
      <c r="L10" s="85" t="str">
        <f>IF($B10="Open","",IFERROR(INDEX('📝 Roster'!$K:$K,MATCH($A10,'📝 Roster'!$B:$B,0)),""))</f>
        <v/>
      </c>
      <c r="M10" s="85" t="str">
        <f>IF($B10="Open","",IFERROR(INDEX('📝 Roster'!$J:$J,MATCH($A10,'📝 Roster'!$B:$B,0)),""))</f>
        <v/>
      </c>
      <c r="N10" s="90" t="str">
        <f>IF($B10="Open","",IFERROR(INDEX('📝 Roster'!$L:$L,MATCH($A10,'📝 Roster'!$B:$B,0)),""))</f>
        <v/>
      </c>
      <c r="O10" s="90" t="str">
        <f>IF($B10="Open","",IFERROR(INDEX('📝 Roster'!$M:$M,MATCH($A10,'📝 Roster'!$B:$B,0)),""))</f>
        <v/>
      </c>
      <c r="P10" s="91">
        <f t="shared" ref="P10:P23" si="2">IFERROR(MATCH($A10,HP_ROOMS,0),99)</f>
        <v>1</v>
      </c>
      <c r="Q10" s="92" t="str">
        <f>IFERROR(IF(INDEX('📝 Roster'!$N:$N,MATCH($A10,'📝 Roster'!$B:$B,0))=0,"",INDEX('📝 Roster'!$N:$N,MATCH($A10,'📝 Roster'!$B:$B,0))),"")</f>
        <v/>
      </c>
    </row>
    <row r="11" spans="1:17" ht="24" customHeight="1">
      <c r="A11" s="85" t="s">
        <v>95</v>
      </c>
      <c r="B11" s="85" t="str">
        <f>IF($A11="","",IF(COUNTIF('📝 Roster'!$B:$B,$A11)=0,"Open",IF(IFERROR(INDEX('📝 Roster'!$C:$C,MATCH($A11,'📝 Roster'!$B:$B,0)),"")="","Open",INDEX('📝 Roster'!$C:$C,MATCH($A11,'📝 Roster'!$B:$B,0)))))</f>
        <v>Open</v>
      </c>
      <c r="C11" s="86" t="str">
        <f>IF($B11="Open","",IFERROR(INDEX('📝 Roster'!$A:$A,MATCH($A11,'📝 Roster'!$B:$B,0)),""))</f>
        <v/>
      </c>
      <c r="D11" s="87" t="str">
        <f>IF($B11="Open","",IFERROR(INDEX('📝 Roster'!$D:$D,MATCH($A11,'📝 Roster'!$B:$B,0)),""))</f>
        <v/>
      </c>
      <c r="E11" s="85" t="str">
        <f>IF($B11="Open","",IFERROR(INDEX('📝 Roster'!$E:$E,MATCH($A11,'📝 Roster'!$B:$B,0)),""))</f>
        <v/>
      </c>
      <c r="F11" s="85" t="str">
        <f>IF($B11="Open","",IFERROR(INDEX('📝 Roster'!$F:$F,MATCH($A11,'📝 Roster'!$B:$B,0)),""))</f>
        <v/>
      </c>
      <c r="G11" s="88" t="str">
        <f>IF($B11="Open","",IFERROR(INDEX('📝 Roster'!$G:$G,MATCH($A11,'📝 Roster'!$B:$B,0)),""))</f>
        <v/>
      </c>
      <c r="H11" s="87" t="str">
        <f t="shared" si="0"/>
        <v/>
      </c>
      <c r="I11" s="85" t="str">
        <f t="shared" ca="1" si="1"/>
        <v/>
      </c>
      <c r="J11" s="89" t="str">
        <f>IF($B11="Open","",IFERROR(INDEX('📝 Roster'!$H:$H,MATCH($A11,'📝 Roster'!$B:$B,0)),""))</f>
        <v/>
      </c>
      <c r="K11" s="89" t="str">
        <f>IF($B11="Open","",IFERROR(INDEX('📝 Roster'!$I:$I,MATCH($A11,'📝 Roster'!$B:$B,0)),""))</f>
        <v/>
      </c>
      <c r="L11" s="85" t="str">
        <f>IF($B11="Open","",IFERROR(INDEX('📝 Roster'!$K:$K,MATCH($A11,'📝 Roster'!$B:$B,0)),""))</f>
        <v/>
      </c>
      <c r="M11" s="85" t="str">
        <f>IF($B11="Open","",IFERROR(INDEX('📝 Roster'!$J:$J,MATCH($A11,'📝 Roster'!$B:$B,0)),""))</f>
        <v/>
      </c>
      <c r="N11" s="90" t="str">
        <f>IF($B11="Open","",IFERROR(INDEX('📝 Roster'!$L:$L,MATCH($A11,'📝 Roster'!$B:$B,0)),""))</f>
        <v/>
      </c>
      <c r="O11" s="90" t="str">
        <f>IF($B11="Open","",IFERROR(INDEX('📝 Roster'!$M:$M,MATCH($A11,'📝 Roster'!$B:$B,0)),""))</f>
        <v/>
      </c>
      <c r="P11" s="91">
        <f t="shared" si="2"/>
        <v>2</v>
      </c>
      <c r="Q11" s="92" t="str">
        <f>IFERROR(IF(INDEX('📝 Roster'!$N:$N,MATCH($A11,'📝 Roster'!$B:$B,0))=0,"",INDEX('📝 Roster'!$N:$N,MATCH($A11,'📝 Roster'!$B:$B,0))),"")</f>
        <v/>
      </c>
    </row>
    <row r="12" spans="1:17" ht="24" customHeight="1">
      <c r="A12" s="85" t="s">
        <v>97</v>
      </c>
      <c r="B12" s="85" t="str">
        <f>IF($A12="","",IF(COUNTIF('📝 Roster'!$B:$B,$A12)=0,"Open",IF(IFERROR(INDEX('📝 Roster'!$C:$C,MATCH($A12,'📝 Roster'!$B:$B,0)),"")="","Open",INDEX('📝 Roster'!$C:$C,MATCH($A12,'📝 Roster'!$B:$B,0)))))</f>
        <v>Occupied</v>
      </c>
      <c r="C12" s="86" t="str">
        <f>IF($B12="Open","",IFERROR(INDEX('📝 Roster'!$A:$A,MATCH($A12,'📝 Roster'!$B:$B,0)),""))</f>
        <v>Kurt Guisler</v>
      </c>
      <c r="D12" s="87">
        <f>IF($B12="Open","",IFERROR(INDEX('📝 Roster'!$D:$D,MATCH($A12,'📝 Roster'!$B:$B,0)),""))</f>
        <v>46172</v>
      </c>
      <c r="E12" s="85" t="str">
        <f>IF($B12="Open","",IFERROR(INDEX('📝 Roster'!$E:$E,MATCH($A12,'📝 Roster'!$B:$B,0)),""))</f>
        <v>DTX/RTC</v>
      </c>
      <c r="F12" s="85" t="str">
        <f>IF($B12="Open","",IFERROR(INDEX('📝 Roster'!$F:$F,MATCH($A12,'📝 Roster'!$B:$B,0)),""))</f>
        <v>DTX/RTC</v>
      </c>
      <c r="G12" s="85">
        <f>IF($B12="Open","",IFERROR(INDEX('📝 Roster'!$G:$G,MATCH($A12,'📝 Roster'!$B:$B,0)),""))</f>
        <v>30</v>
      </c>
      <c r="H12" s="87">
        <f t="shared" si="0"/>
        <v>46201</v>
      </c>
      <c r="I12" s="85">
        <f t="shared" ca="1" si="1"/>
        <v>11</v>
      </c>
      <c r="J12" s="89" t="str">
        <f>IF($B12="Open","",IFERROR(INDEX('📝 Roster'!$H:$H,MATCH($A12,'📝 Roster'!$B:$B,0)),""))</f>
        <v>Blue Shield PPO</v>
      </c>
      <c r="K12" s="89" t="str">
        <f>IF($B12="Open","",IFERROR(INDEX('📝 Roster'!$I:$I,MATCH($A12,'📝 Roster'!$B:$B,0)),""))</f>
        <v>Skyline/Ahbra</v>
      </c>
      <c r="L12" s="85" t="str">
        <f>IF($B12="Open","",IFERROR(INDEX('📝 Roster'!$K:$K,MATCH($A12,'📝 Roster'!$B:$B,0)),""))</f>
        <v>N</v>
      </c>
      <c r="M12" s="85" t="str">
        <f>IF($B12="Open","",IFERROR(INDEX('📝 Roster'!$J:$J,MATCH($A12,'📝 Roster'!$B:$B,0)),""))</f>
        <v>Amy</v>
      </c>
      <c r="N12" s="90">
        <f>IF($B12="Open","",IFERROR(INDEX('📝 Roster'!$L:$L,MATCH($A12,'📝 Roster'!$B:$B,0)),""))</f>
        <v>0</v>
      </c>
      <c r="O12" s="90">
        <f>IF($B12="Open","",IFERROR(INDEX('📝 Roster'!$M:$M,MATCH($A12,'📝 Roster'!$B:$B,0)),""))</f>
        <v>0</v>
      </c>
      <c r="P12" s="91">
        <f t="shared" si="2"/>
        <v>3</v>
      </c>
      <c r="Q12" s="92">
        <f>IFERROR(IF(INDEX('📝 Roster'!$N:$N,MATCH($A12,'📝 Roster'!$B:$B,0))=0,"",INDEX('📝 Roster'!$N:$N,MATCH($A12,'📝 Roster'!$B:$B,0))),"")</f>
        <v>46201</v>
      </c>
    </row>
    <row r="13" spans="1:17" ht="24" customHeight="1">
      <c r="A13" s="85" t="s">
        <v>104</v>
      </c>
      <c r="B13" s="85" t="str">
        <f>IF($A13="","",IF(COUNTIF('📝 Roster'!$B:$B,$A13)=0,"Open",IF(IFERROR(INDEX('📝 Roster'!$C:$C,MATCH($A13,'📝 Roster'!$B:$B,0)),"")="","Open",INDEX('📝 Roster'!$C:$C,MATCH($A13,'📝 Roster'!$B:$B,0)))))</f>
        <v>Occupied</v>
      </c>
      <c r="C13" s="86" t="str">
        <f>IF($B13="Open","",IFERROR(INDEX('📝 Roster'!$A:$A,MATCH($A13,'📝 Roster'!$B:$B,0)),""))</f>
        <v>Pedro Mendoza</v>
      </c>
      <c r="D13" s="87">
        <f>IF($B13="Open","",IFERROR(INDEX('📝 Roster'!$D:$D,MATCH($A13,'📝 Roster'!$B:$B,0)),""))</f>
        <v>46176</v>
      </c>
      <c r="E13" s="85" t="str">
        <f>IF($B13="Open","",IFERROR(INDEX('📝 Roster'!$E:$E,MATCH($A13,'📝 Roster'!$B:$B,0)),""))</f>
        <v>DTX/RTC</v>
      </c>
      <c r="F13" s="85" t="str">
        <f>IF($B13="Open","",IFERROR(INDEX('📝 Roster'!$F:$F,MATCH($A13,'📝 Roster'!$B:$B,0)),""))</f>
        <v>DTX/RTC</v>
      </c>
      <c r="G13" s="85">
        <f>IF($B13="Open","",IFERROR(INDEX('📝 Roster'!$G:$G,MATCH($A13,'📝 Roster'!$B:$B,0)),""))</f>
        <v>30</v>
      </c>
      <c r="H13" s="87">
        <f t="shared" si="0"/>
        <v>46205</v>
      </c>
      <c r="I13" s="85">
        <f t="shared" ca="1" si="1"/>
        <v>15</v>
      </c>
      <c r="J13" s="89" t="str">
        <f>IF($B13="Open","",IFERROR(INDEX('📝 Roster'!$H:$H,MATCH($A13,'📝 Roster'!$B:$B,0)),""))</f>
        <v>Blue Shield CA</v>
      </c>
      <c r="K13" s="89" t="str">
        <f>IF($B13="Open","",IFERROR(INDEX('📝 Roster'!$I:$I,MATCH($A13,'📝 Roster'!$B:$B,0)),""))</f>
        <v>Readmit</v>
      </c>
      <c r="L13" s="85" t="str">
        <f>IF($B13="Open","",IFERROR(INDEX('📝 Roster'!$K:$K,MATCH($A13,'📝 Roster'!$B:$B,0)),""))</f>
        <v>N</v>
      </c>
      <c r="M13" s="85" t="str">
        <f>IF($B13="Open","",IFERROR(INDEX('📝 Roster'!$J:$J,MATCH($A13,'📝 Roster'!$B:$B,0)),""))</f>
        <v>Matthew</v>
      </c>
      <c r="N13" s="90">
        <f>IF($B13="Open","",IFERROR(INDEX('📝 Roster'!$L:$L,MATCH($A13,'📝 Roster'!$B:$B,0)),""))</f>
        <v>0</v>
      </c>
      <c r="O13" s="90">
        <f>IF($B13="Open","",IFERROR(INDEX('📝 Roster'!$M:$M,MATCH($A13,'📝 Roster'!$B:$B,0)),""))</f>
        <v>0</v>
      </c>
      <c r="P13" s="91">
        <f t="shared" si="2"/>
        <v>4</v>
      </c>
      <c r="Q13" s="92">
        <f>IFERROR(IF(INDEX('📝 Roster'!$N:$N,MATCH($A13,'📝 Roster'!$B:$B,0))=0,"",INDEX('📝 Roster'!$N:$N,MATCH($A13,'📝 Roster'!$B:$B,0))),"")</f>
        <v>46205</v>
      </c>
    </row>
    <row r="14" spans="1:17" ht="24" customHeight="1">
      <c r="A14" s="85" t="s">
        <v>108</v>
      </c>
      <c r="B14" s="85" t="str">
        <f>IF($A14="","",IF(COUNTIF('📝 Roster'!$B:$B,$A14)=0,"Open",IF(IFERROR(INDEX('📝 Roster'!$C:$C,MATCH($A14,'📝 Roster'!$B:$B,0)),"")="","Open",INDEX('📝 Roster'!$C:$C,MATCH($A14,'📝 Roster'!$B:$B,0)))))</f>
        <v>Open</v>
      </c>
      <c r="C14" s="86" t="str">
        <f>IF($B14="Open","",IFERROR(INDEX('📝 Roster'!$A:$A,MATCH($A14,'📝 Roster'!$B:$B,0)),""))</f>
        <v/>
      </c>
      <c r="D14" s="87" t="str">
        <f>IF($B14="Open","",IFERROR(INDEX('📝 Roster'!$D:$D,MATCH($A14,'📝 Roster'!$B:$B,0)),""))</f>
        <v/>
      </c>
      <c r="E14" s="85" t="str">
        <f>IF($B14="Open","",IFERROR(INDEX('📝 Roster'!$E:$E,MATCH($A14,'📝 Roster'!$B:$B,0)),""))</f>
        <v/>
      </c>
      <c r="F14" s="85" t="str">
        <f>IF($B14="Open","",IFERROR(INDEX('📝 Roster'!$F:$F,MATCH($A14,'📝 Roster'!$B:$B,0)),""))</f>
        <v/>
      </c>
      <c r="G14" s="88" t="str">
        <f>IF($B14="Open","",IFERROR(INDEX('📝 Roster'!$G:$G,MATCH($A14,'📝 Roster'!$B:$B,0)),""))</f>
        <v/>
      </c>
      <c r="H14" s="87" t="str">
        <f t="shared" si="0"/>
        <v/>
      </c>
      <c r="I14" s="85" t="str">
        <f t="shared" ca="1" si="1"/>
        <v/>
      </c>
      <c r="J14" s="89" t="str">
        <f>IF($B14="Open","",IFERROR(INDEX('📝 Roster'!$H:$H,MATCH($A14,'📝 Roster'!$B:$B,0)),""))</f>
        <v/>
      </c>
      <c r="K14" s="89" t="str">
        <f>IF($B14="Open","",IFERROR(INDEX('📝 Roster'!$I:$I,MATCH($A14,'📝 Roster'!$B:$B,0)),""))</f>
        <v/>
      </c>
      <c r="L14" s="85" t="str">
        <f>IF($B14="Open","",IFERROR(INDEX('📝 Roster'!$K:$K,MATCH($A14,'📝 Roster'!$B:$B,0)),""))</f>
        <v/>
      </c>
      <c r="M14" s="85" t="str">
        <f>IF($B14="Open","",IFERROR(INDEX('📝 Roster'!$J:$J,MATCH($A14,'📝 Roster'!$B:$B,0)),""))</f>
        <v/>
      </c>
      <c r="N14" s="90" t="str">
        <f>IF($B14="Open","",IFERROR(INDEX('📝 Roster'!$L:$L,MATCH($A14,'📝 Roster'!$B:$B,0)),""))</f>
        <v/>
      </c>
      <c r="O14" s="90" t="str">
        <f>IF($B14="Open","",IFERROR(INDEX('📝 Roster'!$M:$M,MATCH($A14,'📝 Roster'!$B:$B,0)),""))</f>
        <v/>
      </c>
      <c r="P14" s="91">
        <f t="shared" si="2"/>
        <v>5</v>
      </c>
      <c r="Q14" s="92" t="str">
        <f>IFERROR(IF(INDEX('📝 Roster'!$N:$N,MATCH($A14,'📝 Roster'!$B:$B,0))=0,"",INDEX('📝 Roster'!$N:$N,MATCH($A14,'📝 Roster'!$B:$B,0))),"")</f>
        <v/>
      </c>
    </row>
    <row r="15" spans="1:17" ht="24" customHeight="1">
      <c r="A15" s="85" t="s">
        <v>110</v>
      </c>
      <c r="B15" s="85" t="str">
        <f>IF($A15="","",IF(COUNTIF('📝 Roster'!$B:$B,$A15)=0,"Open",IF(IFERROR(INDEX('📝 Roster'!$C:$C,MATCH($A15,'📝 Roster'!$B:$B,0)),"")="","Open",INDEX('📝 Roster'!$C:$C,MATCH($A15,'📝 Roster'!$B:$B,0)))))</f>
        <v>Occupied</v>
      </c>
      <c r="C15" s="86" t="str">
        <f>IF($B15="Open","",IFERROR(INDEX('📝 Roster'!$A:$A,MATCH($A15,'📝 Roster'!$B:$B,0)),""))</f>
        <v>Darian Loehner</v>
      </c>
      <c r="D15" s="87">
        <f>IF($B15="Open","",IFERROR(INDEX('📝 Roster'!$D:$D,MATCH($A15,'📝 Roster'!$B:$B,0)),""))</f>
        <v>46183</v>
      </c>
      <c r="E15" s="85" t="str">
        <f>IF($B15="Open","",IFERROR(INDEX('📝 Roster'!$E:$E,MATCH($A15,'📝 Roster'!$B:$B,0)),""))</f>
        <v>DTX</v>
      </c>
      <c r="F15" s="85" t="str">
        <f>IF($B15="Open","",IFERROR(INDEX('📝 Roster'!$F:$F,MATCH($A15,'📝 Roster'!$B:$B,0)),""))</f>
        <v>DTX</v>
      </c>
      <c r="G15" s="85">
        <f>IF($B15="Open","",IFERROR(INDEX('📝 Roster'!$G:$G,MATCH($A15,'📝 Roster'!$B:$B,0)),""))</f>
        <v>10</v>
      </c>
      <c r="H15" s="87">
        <f t="shared" si="0"/>
        <v>46193</v>
      </c>
      <c r="I15" s="85">
        <f t="shared" ca="1" si="1"/>
        <v>3</v>
      </c>
      <c r="J15" s="89" t="str">
        <f>IF($B15="Open","",IFERROR(INDEX('📝 Roster'!$H:$H,MATCH($A15,'📝 Roster'!$B:$B,0)),""))</f>
        <v>Aetna</v>
      </c>
      <c r="K15" s="89" t="str">
        <f>IF($B15="Open","",IFERROR(INDEX('📝 Roster'!$I:$I,MATCH($A15,'📝 Roster'!$B:$B,0)),""))</f>
        <v>Readmit</v>
      </c>
      <c r="L15" s="85" t="str">
        <f>IF($B15="Open","",IFERROR(INDEX('📝 Roster'!$K:$K,MATCH($A15,'📝 Roster'!$B:$B,0)),""))</f>
        <v>Y</v>
      </c>
      <c r="M15" s="85" t="str">
        <f>IF($B15="Open","",IFERROR(INDEX('📝 Roster'!$J:$J,MATCH($A15,'📝 Roster'!$B:$B,0)),""))</f>
        <v>Amy</v>
      </c>
      <c r="N15" s="90">
        <f>IF($B15="Open","",IFERROR(INDEX('📝 Roster'!$L:$L,MATCH($A15,'📝 Roster'!$B:$B,0)),""))</f>
        <v>0</v>
      </c>
      <c r="O15" s="90">
        <f>IF($B15="Open","",IFERROR(INDEX('📝 Roster'!$M:$M,MATCH($A15,'📝 Roster'!$B:$B,0)),""))</f>
        <v>0</v>
      </c>
      <c r="P15" s="91">
        <f t="shared" si="2"/>
        <v>6</v>
      </c>
      <c r="Q15" s="92" t="str">
        <f>IFERROR(IF(INDEX('📝 Roster'!$N:$N,MATCH($A15,'📝 Roster'!$B:$B,0))=0,"",INDEX('📝 Roster'!$N:$N,MATCH($A15,'📝 Roster'!$B:$B,0))),"")</f>
        <v/>
      </c>
    </row>
    <row r="16" spans="1:17" ht="24" customHeight="1">
      <c r="A16" s="85" t="s">
        <v>115</v>
      </c>
      <c r="B16" s="85" t="str">
        <f>IF($A16="","",IF(COUNTIF('📝 Roster'!$B:$B,$A16)=0,"Open",IF(IFERROR(INDEX('📝 Roster'!$C:$C,MATCH($A16,'📝 Roster'!$B:$B,0)),"")="","Open",INDEX('📝 Roster'!$C:$C,MATCH($A16,'📝 Roster'!$B:$B,0)))))</f>
        <v>Occupied</v>
      </c>
      <c r="C16" s="86" t="str">
        <f>IF($B16="Open","",IFERROR(INDEX('📝 Roster'!$A:$A,MATCH($A16,'📝 Roster'!$B:$B,0)),""))</f>
        <v>Jill Labate</v>
      </c>
      <c r="D16" s="87">
        <f>IF($B16="Open","",IFERROR(INDEX('📝 Roster'!$D:$D,MATCH($A16,'📝 Roster'!$B:$B,0)),""))</f>
        <v>46187</v>
      </c>
      <c r="E16" s="85" t="str">
        <f>IF($B16="Open","",IFERROR(INDEX('📝 Roster'!$E:$E,MATCH($A16,'📝 Roster'!$B:$B,0)),""))</f>
        <v>DTX/RTC</v>
      </c>
      <c r="F16" s="85" t="str">
        <f>IF($B16="Open","",IFERROR(INDEX('📝 Roster'!$F:$F,MATCH($A16,'📝 Roster'!$B:$B,0)),""))</f>
        <v>DTX/RTC</v>
      </c>
      <c r="G16" s="88">
        <f>IF($B16="Open","",IFERROR(INDEX('📝 Roster'!$G:$G,MATCH($A16,'📝 Roster'!$B:$B,0)),""))</f>
        <v>21</v>
      </c>
      <c r="H16" s="87">
        <f t="shared" si="0"/>
        <v>46208</v>
      </c>
      <c r="I16" s="85">
        <f t="shared" ca="1" si="1"/>
        <v>18</v>
      </c>
      <c r="J16" s="89" t="str">
        <f>IF($B16="Open","",IFERROR(INDEX('📝 Roster'!$H:$H,MATCH($A16,'📝 Roster'!$B:$B,0)),""))</f>
        <v>Cigna/Evernorth</v>
      </c>
      <c r="K16" s="89" t="str">
        <f>IF($B16="Open","",IFERROR(INDEX('📝 Roster'!$I:$I,MATCH($A16,'📝 Roster'!$B:$B,0)),""))</f>
        <v>Readmit/Rise</v>
      </c>
      <c r="L16" s="85">
        <f>IF($B16="Open","",IFERROR(INDEX('📝 Roster'!$K:$K,MATCH($A16,'📝 Roster'!$B:$B,0)),""))</f>
        <v>0</v>
      </c>
      <c r="M16" s="85" t="str">
        <f>IF($B16="Open","",IFERROR(INDEX('📝 Roster'!$J:$J,MATCH($A16,'📝 Roster'!$B:$B,0)),""))</f>
        <v>Matthew</v>
      </c>
      <c r="N16" s="90">
        <f>IF($B16="Open","",IFERROR(INDEX('📝 Roster'!$L:$L,MATCH($A16,'📝 Roster'!$B:$B,0)),""))</f>
        <v>0</v>
      </c>
      <c r="O16" s="90">
        <f>IF($B16="Open","",IFERROR(INDEX('📝 Roster'!$M:$M,MATCH($A16,'📝 Roster'!$B:$B,0)),""))</f>
        <v>0</v>
      </c>
      <c r="P16" s="91">
        <f t="shared" si="2"/>
        <v>7</v>
      </c>
      <c r="Q16" s="92" t="str">
        <f>IFERROR(IF(INDEX('📝 Roster'!$N:$N,MATCH($A16,'📝 Roster'!$B:$B,0))=0,"",INDEX('📝 Roster'!$N:$N,MATCH($A16,'📝 Roster'!$B:$B,0))),"")</f>
        <v/>
      </c>
    </row>
    <row r="17" spans="1:17" ht="24" customHeight="1">
      <c r="A17" s="85" t="s">
        <v>119</v>
      </c>
      <c r="B17" s="85" t="str">
        <f>IF($A17="","",IF(COUNTIF('📝 Roster'!$B:$B,$A17)=0,"Open",IF(IFERROR(INDEX('📝 Roster'!$C:$C,MATCH($A17,'📝 Roster'!$B:$B,0)),"")="","Open",INDEX('📝 Roster'!$C:$C,MATCH($A17,'📝 Roster'!$B:$B,0)))))</f>
        <v>Occupied</v>
      </c>
      <c r="C17" s="86" t="str">
        <f>IF($B17="Open","",IFERROR(INDEX('📝 Roster'!$A:$A,MATCH($A17,'📝 Roster'!$B:$B,0)),""))</f>
        <v>Monica Gamboa</v>
      </c>
      <c r="D17" s="87">
        <f>IF($B17="Open","",IFERROR(INDEX('📝 Roster'!$D:$D,MATCH($A17,'📝 Roster'!$B:$B,0)),""))</f>
        <v>46184</v>
      </c>
      <c r="E17" s="85" t="str">
        <f>IF($B17="Open","",IFERROR(INDEX('📝 Roster'!$E:$E,MATCH($A17,'📝 Roster'!$B:$B,0)),""))</f>
        <v>DTX/RTC</v>
      </c>
      <c r="F17" s="85" t="str">
        <f>IF($B17="Open","",IFERROR(INDEX('📝 Roster'!$F:$F,MATCH($A17,'📝 Roster'!$B:$B,0)),""))</f>
        <v>DTX/RTC</v>
      </c>
      <c r="G17" s="85">
        <f>IF($B17="Open","",IFERROR(INDEX('📝 Roster'!$G:$G,MATCH($A17,'📝 Roster'!$B:$B,0)),""))</f>
        <v>10</v>
      </c>
      <c r="H17" s="87">
        <f t="shared" si="0"/>
        <v>46194</v>
      </c>
      <c r="I17" s="85">
        <f t="shared" ca="1" si="1"/>
        <v>4</v>
      </c>
      <c r="J17" s="89" t="str">
        <f>IF($B17="Open","",IFERROR(INDEX('📝 Roster'!$H:$H,MATCH($A17,'📝 Roster'!$B:$B,0)),""))</f>
        <v>Molina CA</v>
      </c>
      <c r="K17" s="89" t="str">
        <f>IF($B17="Open","",IFERROR(INDEX('📝 Roster'!$I:$I,MATCH($A17,'📝 Roster'!$B:$B,0)),""))</f>
        <v>Readmit</v>
      </c>
      <c r="L17" s="85" t="str">
        <f>IF($B17="Open","",IFERROR(INDEX('📝 Roster'!$K:$K,MATCH($A17,'📝 Roster'!$B:$B,0)),""))</f>
        <v>N</v>
      </c>
      <c r="M17" s="85" t="str">
        <f>IF($B17="Open","",IFERROR(INDEX('📝 Roster'!$J:$J,MATCH($A17,'📝 Roster'!$B:$B,0)),""))</f>
        <v>Amy</v>
      </c>
      <c r="N17" s="90">
        <f>IF($B17="Open","",IFERROR(INDEX('📝 Roster'!$L:$L,MATCH($A17,'📝 Roster'!$B:$B,0)),""))</f>
        <v>0</v>
      </c>
      <c r="O17" s="90">
        <f>IF($B17="Open","",IFERROR(INDEX('📝 Roster'!$M:$M,MATCH($A17,'📝 Roster'!$B:$B,0)),""))</f>
        <v>0</v>
      </c>
      <c r="P17" s="91">
        <f t="shared" si="2"/>
        <v>8</v>
      </c>
      <c r="Q17" s="92">
        <f>IFERROR(IF(INDEX('📝 Roster'!$N:$N,MATCH($A17,'📝 Roster'!$B:$B,0))=0,"",INDEX('📝 Roster'!$N:$N,MATCH($A17,'📝 Roster'!$B:$B,0))),"")</f>
        <v>46194</v>
      </c>
    </row>
    <row r="18" spans="1:17" ht="24" customHeight="1">
      <c r="A18" s="85" t="s">
        <v>122</v>
      </c>
      <c r="B18" s="85" t="str">
        <f>IF($A18="","",IF(COUNTIF('📝 Roster'!$B:$B,$A18)=0,"Open",IF(IFERROR(INDEX('📝 Roster'!$C:$C,MATCH($A18,'📝 Roster'!$B:$B,0)),"")="","Open",INDEX('📝 Roster'!$C:$C,MATCH($A18,'📝 Roster'!$B:$B,0)))))</f>
        <v>Occupied</v>
      </c>
      <c r="C18" s="86" t="str">
        <f>IF($B18="Open","",IFERROR(INDEX('📝 Roster'!$A:$A,MATCH($A18,'📝 Roster'!$B:$B,0)),""))</f>
        <v>Bradey Bauer</v>
      </c>
      <c r="D18" s="87">
        <f>IF($B18="Open","",IFERROR(INDEX('📝 Roster'!$D:$D,MATCH($A18,'📝 Roster'!$B:$B,0)),""))</f>
        <v>46186</v>
      </c>
      <c r="E18" s="85" t="str">
        <f>IF($B18="Open","",IFERROR(INDEX('📝 Roster'!$E:$E,MATCH($A18,'📝 Roster'!$B:$B,0)),""))</f>
        <v>DTX/RTC</v>
      </c>
      <c r="F18" s="85" t="str">
        <f>IF($B18="Open","",IFERROR(INDEX('📝 Roster'!$F:$F,MATCH($A18,'📝 Roster'!$B:$B,0)),""))</f>
        <v>DTX/RTC</v>
      </c>
      <c r="G18" s="88">
        <f>IF($B18="Open","",IFERROR(INDEX('📝 Roster'!$G:$G,MATCH($A18,'📝 Roster'!$B:$B,0)),""))</f>
        <v>30</v>
      </c>
      <c r="H18" s="87">
        <f t="shared" si="0"/>
        <v>46216</v>
      </c>
      <c r="I18" s="85">
        <f t="shared" ca="1" si="1"/>
        <v>26</v>
      </c>
      <c r="J18" s="89" t="str">
        <f>IF($B18="Open","",IFERROR(INDEX('📝 Roster'!$H:$H,MATCH($A18,'📝 Roster'!$B:$B,0)),""))</f>
        <v>Anthem BC</v>
      </c>
      <c r="K18" s="89">
        <f>IF($B18="Open","",IFERROR(INDEX('📝 Roster'!$I:$I,MATCH($A18,'📝 Roster'!$B:$B,0)),""))</f>
        <v>0</v>
      </c>
      <c r="L18" s="85">
        <f>IF($B18="Open","",IFERROR(INDEX('📝 Roster'!$K:$K,MATCH($A18,'📝 Roster'!$B:$B,0)),""))</f>
        <v>0</v>
      </c>
      <c r="M18" s="85">
        <f>IF($B18="Open","",IFERROR(INDEX('📝 Roster'!$J:$J,MATCH($A18,'📝 Roster'!$B:$B,0)),""))</f>
        <v>0</v>
      </c>
      <c r="N18" s="90">
        <f>IF($B18="Open","",IFERROR(INDEX('📝 Roster'!$L:$L,MATCH($A18,'📝 Roster'!$B:$B,0)),""))</f>
        <v>0</v>
      </c>
      <c r="O18" s="90">
        <f>IF($B18="Open","",IFERROR(INDEX('📝 Roster'!$M:$M,MATCH($A18,'📝 Roster'!$B:$B,0)),""))</f>
        <v>0</v>
      </c>
      <c r="P18" s="91">
        <f t="shared" si="2"/>
        <v>9</v>
      </c>
      <c r="Q18" s="92" t="str">
        <f>IFERROR(IF(INDEX('📝 Roster'!$N:$N,MATCH($A18,'📝 Roster'!$B:$B,0))=0,"",INDEX('📝 Roster'!$N:$N,MATCH($A18,'📝 Roster'!$B:$B,0))),"")</f>
        <v/>
      </c>
    </row>
    <row r="19" spans="1:17" ht="24" customHeight="1">
      <c r="A19" s="85" t="s">
        <v>125</v>
      </c>
      <c r="B19" s="85" t="str">
        <f>IF($A19="","",IF(COUNTIF('📝 Roster'!$B:$B,$A19)=0,"Open",IF(IFERROR(INDEX('📝 Roster'!$C:$C,MATCH($A19,'📝 Roster'!$B:$B,0)),"")="","Open",INDEX('📝 Roster'!$C:$C,MATCH($A19,'📝 Roster'!$B:$B,0)))))</f>
        <v>Occupied</v>
      </c>
      <c r="C19" s="86" t="str">
        <f>IF($B19="Open","",IFERROR(INDEX('📝 Roster'!$A:$A,MATCH($A19,'📝 Roster'!$B:$B,0)),""))</f>
        <v>Garrett Johnson</v>
      </c>
      <c r="D19" s="87">
        <f>IF($B19="Open","",IFERROR(INDEX('📝 Roster'!$D:$D,MATCH($A19,'📝 Roster'!$B:$B,0)),""))</f>
        <v>46186</v>
      </c>
      <c r="E19" s="85" t="str">
        <f>IF($B19="Open","",IFERROR(INDEX('📝 Roster'!$E:$E,MATCH($A19,'📝 Roster'!$B:$B,0)),""))</f>
        <v>RTC</v>
      </c>
      <c r="F19" s="85" t="str">
        <f>IF($B19="Open","",IFERROR(INDEX('📝 Roster'!$F:$F,MATCH($A19,'📝 Roster'!$B:$B,0)),""))</f>
        <v>RTC</v>
      </c>
      <c r="G19" s="88">
        <f>IF($B19="Open","",IFERROR(INDEX('📝 Roster'!$G:$G,MATCH($A19,'📝 Roster'!$B:$B,0)),""))</f>
        <v>30</v>
      </c>
      <c r="H19" s="87">
        <f t="shared" si="0"/>
        <v>46216</v>
      </c>
      <c r="I19" s="85">
        <f t="shared" ca="1" si="1"/>
        <v>26</v>
      </c>
      <c r="J19" s="89" t="str">
        <f>IF($B19="Open","",IFERROR(INDEX('📝 Roster'!$H:$H,MATCH($A19,'📝 Roster'!$B:$B,0)),""))</f>
        <v>UHC</v>
      </c>
      <c r="K19" s="89" t="str">
        <f>IF($B19="Open","",IFERROR(INDEX('📝 Roster'!$I:$I,MATCH($A19,'📝 Roster'!$B:$B,0)),""))</f>
        <v>web</v>
      </c>
      <c r="L19" s="85" t="str">
        <f>IF($B19="Open","",IFERROR(INDEX('📝 Roster'!$K:$K,MATCH($A19,'📝 Roster'!$B:$B,0)),""))</f>
        <v>Y</v>
      </c>
      <c r="M19" s="85" t="str">
        <f>IF($B19="Open","",IFERROR(INDEX('📝 Roster'!$J:$J,MATCH($A19,'📝 Roster'!$B:$B,0)),""))</f>
        <v>Nelson</v>
      </c>
      <c r="N19" s="90">
        <f>IF($B19="Open","",IFERROR(INDEX('📝 Roster'!$L:$L,MATCH($A19,'📝 Roster'!$B:$B,0)),""))</f>
        <v>0</v>
      </c>
      <c r="O19" s="90">
        <f>IF($B19="Open","",IFERROR(INDEX('📝 Roster'!$M:$M,MATCH($A19,'📝 Roster'!$B:$B,0)),""))</f>
        <v>0</v>
      </c>
      <c r="P19" s="91">
        <f t="shared" si="2"/>
        <v>10</v>
      </c>
      <c r="Q19" s="92" t="str">
        <f>IFERROR(IF(INDEX('📝 Roster'!$N:$N,MATCH($A19,'📝 Roster'!$B:$B,0))=0,"",INDEX('📝 Roster'!$N:$N,MATCH($A19,'📝 Roster'!$B:$B,0))),"")</f>
        <v/>
      </c>
    </row>
    <row r="20" spans="1:17" ht="24" customHeight="1">
      <c r="A20" s="85" t="s">
        <v>131</v>
      </c>
      <c r="B20" s="85" t="str">
        <f>IF($A20="","",IF(COUNTIF('📝 Roster'!$B:$B,$A20)=0,"Open",IF(IFERROR(INDEX('📝 Roster'!$C:$C,MATCH($A20,'📝 Roster'!$B:$B,0)),"")="","Open",INDEX('📝 Roster'!$C:$C,MATCH($A20,'📝 Roster'!$B:$B,0)))))</f>
        <v>Occupied</v>
      </c>
      <c r="C20" s="86" t="str">
        <f>IF($B20="Open","",IFERROR(INDEX('📝 Roster'!$A:$A,MATCH($A20,'📝 Roster'!$B:$B,0)),""))</f>
        <v>Kyle Samia</v>
      </c>
      <c r="D20" s="87">
        <f>IF($B20="Open","",IFERROR(INDEX('📝 Roster'!$D:$D,MATCH($A20,'📝 Roster'!$B:$B,0)),""))</f>
        <v>46184</v>
      </c>
      <c r="E20" s="85" t="str">
        <f>IF($B20="Open","",IFERROR(INDEX('📝 Roster'!$E:$E,MATCH($A20,'📝 Roster'!$B:$B,0)),""))</f>
        <v>DTX/RTC</v>
      </c>
      <c r="F20" s="85" t="str">
        <f>IF($B20="Open","",IFERROR(INDEX('📝 Roster'!$F:$F,MATCH($A20,'📝 Roster'!$B:$B,0)),""))</f>
        <v>DTX/RTC</v>
      </c>
      <c r="G20" s="88">
        <f>IF($B20="Open","",IFERROR(INDEX('📝 Roster'!$G:$G,MATCH($A20,'📝 Roster'!$B:$B,0)),""))</f>
        <v>30</v>
      </c>
      <c r="H20" s="87">
        <f t="shared" si="0"/>
        <v>46214</v>
      </c>
      <c r="I20" s="85">
        <f t="shared" ca="1" si="1"/>
        <v>24</v>
      </c>
      <c r="J20" s="89" t="str">
        <f>IF($B20="Open","",IFERROR(INDEX('📝 Roster'!$H:$H,MATCH($A20,'📝 Roster'!$B:$B,0)),""))</f>
        <v>Cigna/Evernorth</v>
      </c>
      <c r="K20" s="89" t="str">
        <f>IF($B20="Open","",IFERROR(INDEX('📝 Roster'!$I:$I,MATCH($A20,'📝 Roster'!$B:$B,0)),""))</f>
        <v>web</v>
      </c>
      <c r="L20" s="85">
        <f>IF($B20="Open","",IFERROR(INDEX('📝 Roster'!$K:$K,MATCH($A20,'📝 Roster'!$B:$B,0)),""))</f>
        <v>0</v>
      </c>
      <c r="M20" s="85" t="str">
        <f>IF($B20="Open","",IFERROR(INDEX('📝 Roster'!$J:$J,MATCH($A20,'📝 Roster'!$B:$B,0)),""))</f>
        <v>Matthew</v>
      </c>
      <c r="N20" s="90">
        <f>IF($B20="Open","",IFERROR(INDEX('📝 Roster'!$L:$L,MATCH($A20,'📝 Roster'!$B:$B,0)),""))</f>
        <v>0</v>
      </c>
      <c r="O20" s="90">
        <f>IF($B20="Open","",IFERROR(INDEX('📝 Roster'!$M:$M,MATCH($A20,'📝 Roster'!$B:$B,0)),""))</f>
        <v>0</v>
      </c>
      <c r="P20" s="91">
        <f t="shared" si="2"/>
        <v>11</v>
      </c>
      <c r="Q20" s="92" t="str">
        <f>IFERROR(IF(INDEX('📝 Roster'!$N:$N,MATCH($A20,'📝 Roster'!$B:$B,0))=0,"",INDEX('📝 Roster'!$N:$N,MATCH($A20,'📝 Roster'!$B:$B,0))),"")</f>
        <v/>
      </c>
    </row>
    <row r="21" spans="1:17" ht="24" customHeight="1">
      <c r="A21" s="85" t="s">
        <v>133</v>
      </c>
      <c r="B21" s="85" t="str">
        <f>IF($A21="","",IF(COUNTIF('📝 Roster'!$B:$B,$A21)=0,"Open",IF(IFERROR(INDEX('📝 Roster'!$C:$C,MATCH($A21,'📝 Roster'!$B:$B,0)),"")="","Open",INDEX('📝 Roster'!$C:$C,MATCH($A21,'📝 Roster'!$B:$B,0)))))</f>
        <v>Occupied</v>
      </c>
      <c r="C21" s="86" t="str">
        <f>IF($B21="Open","",IFERROR(INDEX('📝 Roster'!$A:$A,MATCH($A21,'📝 Roster'!$B:$B,0)),""))</f>
        <v>Jamal Williams</v>
      </c>
      <c r="D21" s="87">
        <f>IF($B21="Open","",IFERROR(INDEX('📝 Roster'!$D:$D,MATCH($A21,'📝 Roster'!$B:$B,0)),""))</f>
        <v>46183</v>
      </c>
      <c r="E21" s="85" t="str">
        <f>IF($B21="Open","",IFERROR(INDEX('📝 Roster'!$E:$E,MATCH($A21,'📝 Roster'!$B:$B,0)),""))</f>
        <v>DTX/RTC</v>
      </c>
      <c r="F21" s="85" t="str">
        <f>IF($B21="Open","",IFERROR(INDEX('📝 Roster'!$F:$F,MATCH($A21,'📝 Roster'!$B:$B,0)),""))</f>
        <v>DTX/RTC</v>
      </c>
      <c r="G21" s="88">
        <f>IF($B21="Open","",IFERROR(INDEX('📝 Roster'!$G:$G,MATCH($A21,'📝 Roster'!$B:$B,0)),""))</f>
        <v>30</v>
      </c>
      <c r="H21" s="87">
        <f t="shared" si="0"/>
        <v>46213</v>
      </c>
      <c r="I21" s="85">
        <f t="shared" ca="1" si="1"/>
        <v>23</v>
      </c>
      <c r="J21" s="89" t="str">
        <f>IF($B21="Open","",IFERROR(INDEX('📝 Roster'!$H:$H,MATCH($A21,'📝 Roster'!$B:$B,0)),""))</f>
        <v>Blue Shield CA</v>
      </c>
      <c r="K21" s="89" t="str">
        <f>IF($B21="Open","",IFERROR(INDEX('📝 Roster'!$I:$I,MATCH($A21,'📝 Roster'!$B:$B,0)),""))</f>
        <v>The Canyon</v>
      </c>
      <c r="L21" s="85">
        <f>IF($B21="Open","",IFERROR(INDEX('📝 Roster'!$K:$K,MATCH($A21,'📝 Roster'!$B:$B,0)),""))</f>
        <v>0</v>
      </c>
      <c r="M21" s="85" t="str">
        <f>IF($B21="Open","",IFERROR(INDEX('📝 Roster'!$J:$J,MATCH($A21,'📝 Roster'!$B:$B,0)),""))</f>
        <v>Ahbra</v>
      </c>
      <c r="N21" s="90">
        <f>IF($B21="Open","",IFERROR(INDEX('📝 Roster'!$L:$L,MATCH($A21,'📝 Roster'!$B:$B,0)),""))</f>
        <v>0</v>
      </c>
      <c r="O21" s="90">
        <f>IF($B21="Open","",IFERROR(INDEX('📝 Roster'!$M:$M,MATCH($A21,'📝 Roster'!$B:$B,0)),""))</f>
        <v>0</v>
      </c>
      <c r="P21" s="91">
        <f t="shared" si="2"/>
        <v>12</v>
      </c>
      <c r="Q21" s="92" t="str">
        <f>IFERROR(IF(INDEX('📝 Roster'!$N:$N,MATCH($A21,'📝 Roster'!$B:$B,0))=0,"",INDEX('📝 Roster'!$N:$N,MATCH($A21,'📝 Roster'!$B:$B,0))),"")</f>
        <v/>
      </c>
    </row>
    <row r="22" spans="1:17" ht="24" customHeight="1">
      <c r="A22" s="85" t="s">
        <v>137</v>
      </c>
      <c r="B22" s="85" t="str">
        <f>IF($A22="","",IF(COUNTIF('📝 Roster'!$B:$B,$A22)=0,"Open",IF(IFERROR(INDEX('📝 Roster'!$C:$C,MATCH($A22,'📝 Roster'!$B:$B,0)),"")="","Open",INDEX('📝 Roster'!$C:$C,MATCH($A22,'📝 Roster'!$B:$B,0)))))</f>
        <v>Occupied</v>
      </c>
      <c r="C22" s="86" t="str">
        <f>IF($B22="Open","",IFERROR(INDEX('📝 Roster'!$A:$A,MATCH($A22,'📝 Roster'!$B:$B,0)),""))</f>
        <v>Christopher Avolio</v>
      </c>
      <c r="D22" s="87">
        <f>IF($B22="Open","",IFERROR(INDEX('📝 Roster'!$D:$D,MATCH($A22,'📝 Roster'!$B:$B,0)),""))</f>
        <v>46169</v>
      </c>
      <c r="E22" s="85" t="str">
        <f>IF($B22="Open","",IFERROR(INDEX('📝 Roster'!$E:$E,MATCH($A22,'📝 Roster'!$B:$B,0)),""))</f>
        <v>DTX/RTC</v>
      </c>
      <c r="F22" s="85" t="str">
        <f>IF($B22="Open","",IFERROR(INDEX('📝 Roster'!$F:$F,MATCH($A22,'📝 Roster'!$B:$B,0)),""))</f>
        <v>DTX/RTC</v>
      </c>
      <c r="G22" s="88">
        <f>IF($B22="Open","",IFERROR(INDEX('📝 Roster'!$G:$G,MATCH($A22,'📝 Roster'!$B:$B,0)),""))</f>
        <v>30</v>
      </c>
      <c r="H22" s="87">
        <f t="shared" si="0"/>
        <v>46205</v>
      </c>
      <c r="I22" s="85">
        <f t="shared" ca="1" si="1"/>
        <v>15</v>
      </c>
      <c r="J22" s="89" t="str">
        <f>IF($B22="Open","",IFERROR(INDEX('📝 Roster'!$H:$H,MATCH($A22,'📝 Roster'!$B:$B,0)),""))</f>
        <v>Blue Shield PPO</v>
      </c>
      <c r="K22" s="89" t="str">
        <f>IF($B22="Open","",IFERROR(INDEX('📝 Roster'!$I:$I,MATCH($A22,'📝 Roster'!$B:$B,0)),""))</f>
        <v>Montare</v>
      </c>
      <c r="L22" s="85" t="str">
        <f>IF($B22="Open","",IFERROR(INDEX('📝 Roster'!$K:$K,MATCH($A22,'📝 Roster'!$B:$B,0)),""))</f>
        <v>N</v>
      </c>
      <c r="M22" s="85" t="str">
        <f>IF($B22="Open","",IFERROR(INDEX('📝 Roster'!$J:$J,MATCH($A22,'📝 Roster'!$B:$B,0)),""))</f>
        <v>Amy</v>
      </c>
      <c r="N22" s="90">
        <f>IF($B22="Open","",IFERROR(INDEX('📝 Roster'!$L:$L,MATCH($A22,'📝 Roster'!$B:$B,0)),""))</f>
        <v>0</v>
      </c>
      <c r="O22" s="90">
        <f>IF($B22="Open","",IFERROR(INDEX('📝 Roster'!$M:$M,MATCH($A22,'📝 Roster'!$B:$B,0)),""))</f>
        <v>0</v>
      </c>
      <c r="P22" s="91">
        <f t="shared" si="2"/>
        <v>13</v>
      </c>
      <c r="Q22" s="92">
        <f>IFERROR(IF(INDEX('📝 Roster'!$N:$N,MATCH($A22,'📝 Roster'!$B:$B,0))=0,"",INDEX('📝 Roster'!$N:$N,MATCH($A22,'📝 Roster'!$B:$B,0))),"")</f>
        <v>46205</v>
      </c>
    </row>
    <row r="23" spans="1:17" ht="24" customHeight="1">
      <c r="A23" s="85" t="s">
        <v>140</v>
      </c>
      <c r="B23" s="85" t="str">
        <f>IF($A23="","",IF(COUNTIF('📝 Roster'!$B:$B,$A23)=0,"Open",IF(IFERROR(INDEX('📝 Roster'!$C:$C,MATCH($A23,'📝 Roster'!$B:$B,0)),"")="","Open",INDEX('📝 Roster'!$C:$C,MATCH($A23,'📝 Roster'!$B:$B,0)))))</f>
        <v>Occupied</v>
      </c>
      <c r="C23" s="86" t="str">
        <f>IF($B23="Open","",IFERROR(INDEX('📝 Roster'!$A:$A,MATCH($A23,'📝 Roster'!$B:$B,0)),""))</f>
        <v>Jason Schnell</v>
      </c>
      <c r="D23" s="87">
        <f>IF($B23="Open","",IFERROR(INDEX('📝 Roster'!$D:$D,MATCH($A23,'📝 Roster'!$B:$B,0)),""))</f>
        <v>46164</v>
      </c>
      <c r="E23" s="85" t="str">
        <f>IF($B23="Open","",IFERROR(INDEX('📝 Roster'!$E:$E,MATCH($A23,'📝 Roster'!$B:$B,0)),""))</f>
        <v>DTX/RTC</v>
      </c>
      <c r="F23" s="85" t="str">
        <f>IF($B23="Open","",IFERROR(INDEX('📝 Roster'!$F:$F,MATCH($A23,'📝 Roster'!$B:$B,0)),""))</f>
        <v>DTX/RTC</v>
      </c>
      <c r="G23" s="88">
        <f>IF($B23="Open","",IFERROR(INDEX('📝 Roster'!$G:$G,MATCH($A23,'📝 Roster'!$B:$B,0)),""))</f>
        <v>30</v>
      </c>
      <c r="H23" s="87">
        <f t="shared" si="0"/>
        <v>46203</v>
      </c>
      <c r="I23" s="85">
        <f t="shared" ca="1" si="1"/>
        <v>13</v>
      </c>
      <c r="J23" s="89" t="str">
        <f>IF($B23="Open","",IFERROR(INDEX('📝 Roster'!$H:$H,MATCH($A23,'📝 Roster'!$B:$B,0)),""))</f>
        <v>Blue Shield CA</v>
      </c>
      <c r="K23" s="89" t="str">
        <f>IF($B23="Open","",IFERROR(INDEX('📝 Roster'!$I:$I,MATCH($A23,'📝 Roster'!$B:$B,0)),""))</f>
        <v>Readmit</v>
      </c>
      <c r="L23" s="85" t="str">
        <f>IF($B23="Open","",IFERROR(INDEX('📝 Roster'!$K:$K,MATCH($A23,'📝 Roster'!$B:$B,0)),""))</f>
        <v>N</v>
      </c>
      <c r="M23" s="85" t="str">
        <f>IF($B23="Open","",IFERROR(INDEX('📝 Roster'!$J:$J,MATCH($A23,'📝 Roster'!$B:$B,0)),""))</f>
        <v>Amy</v>
      </c>
      <c r="N23" s="90">
        <f>IF($B23="Open","",IFERROR(INDEX('📝 Roster'!$L:$L,MATCH($A23,'📝 Roster'!$B:$B,0)),""))</f>
        <v>0</v>
      </c>
      <c r="O23" s="90">
        <f>IF($B23="Open","",IFERROR(INDEX('📝 Roster'!$M:$M,MATCH($A23,'📝 Roster'!$B:$B,0)),""))</f>
        <v>0</v>
      </c>
      <c r="P23" s="91">
        <f t="shared" si="2"/>
        <v>14</v>
      </c>
      <c r="Q23" s="92">
        <f>IFERROR(IF(INDEX('📝 Roster'!$N:$N,MATCH($A23,'📝 Roster'!$B:$B,0))=0,"",INDEX('📝 Roster'!$N:$N,MATCH($A23,'📝 Roster'!$B:$B,0))),"")</f>
        <v>46203</v>
      </c>
    </row>
    <row r="24" spans="1:17" ht="15" customHeight="1">
      <c r="A24" s="70"/>
      <c r="B24" s="70"/>
      <c r="C24" s="70"/>
      <c r="D24" s="70"/>
      <c r="E24" s="70"/>
      <c r="F24" s="70"/>
      <c r="G24" s="70"/>
      <c r="H24" s="70"/>
      <c r="I24" s="70"/>
      <c r="J24" s="70"/>
      <c r="K24" s="70"/>
      <c r="L24" s="70"/>
      <c r="M24" s="70"/>
    </row>
    <row r="25" spans="1:17" ht="15" customHeight="1">
      <c r="A25" s="70"/>
      <c r="B25" s="70"/>
      <c r="C25" s="70"/>
      <c r="D25" s="70"/>
      <c r="E25" s="70"/>
      <c r="F25" s="70"/>
      <c r="G25" s="70"/>
      <c r="H25" s="70"/>
      <c r="I25" s="70"/>
      <c r="J25" s="70"/>
      <c r="K25" s="70"/>
      <c r="L25" s="70"/>
      <c r="M25" s="70"/>
    </row>
    <row r="26" spans="1:17" ht="15" customHeight="1">
      <c r="A26" s="335" t="s">
        <v>186</v>
      </c>
      <c r="B26" s="335"/>
      <c r="C26" s="335"/>
      <c r="D26" s="335"/>
      <c r="E26" s="335"/>
      <c r="F26" s="335"/>
      <c r="G26" s="70"/>
      <c r="H26" s="70"/>
      <c r="I26" s="70"/>
      <c r="J26" s="70"/>
      <c r="K26" s="70"/>
      <c r="L26" s="70"/>
      <c r="M26" s="70"/>
    </row>
    <row r="27" spans="1:17" ht="15" customHeight="1">
      <c r="A27" s="336" t="s">
        <v>187</v>
      </c>
      <c r="B27" s="336"/>
      <c r="C27" s="336"/>
      <c r="D27" s="336"/>
      <c r="E27" s="336"/>
      <c r="F27" s="336"/>
      <c r="G27" s="70"/>
      <c r="H27" s="70"/>
      <c r="I27" s="70"/>
      <c r="J27" s="70"/>
      <c r="K27" s="70"/>
      <c r="L27" s="70"/>
      <c r="M27" s="70"/>
    </row>
    <row r="28" spans="1:17" ht="15" customHeight="1">
      <c r="A28" s="93" t="s">
        <v>188</v>
      </c>
      <c r="B28" s="93" t="s">
        <v>85</v>
      </c>
      <c r="C28" s="93" t="s">
        <v>18</v>
      </c>
      <c r="D28" s="93" t="s">
        <v>189</v>
      </c>
      <c r="E28" s="93" t="s">
        <v>190</v>
      </c>
      <c r="F28" s="93" t="s">
        <v>23</v>
      </c>
    </row>
    <row r="29" spans="1:17" ht="15" customHeight="1">
      <c r="A29" s="94" t="str">
        <f>IFERROR(INDEX('🔥 Pipeline'!$C:$C,MATCH(1,'⚙ Pipeline Engine'!$AC:$AC,0)),"")</f>
        <v/>
      </c>
      <c r="B29" s="94" t="str">
        <f>IFERROR(INDEX('🔥 Pipeline'!$B:$B,MATCH(1,'⚙ Pipeline Engine'!$AC:$AC,0)),"")</f>
        <v/>
      </c>
      <c r="C29" s="94" t="str">
        <f>IFERROR(INDEX('🔥 Pipeline'!$E:$E,MATCH(1,'⚙ Pipeline Engine'!$AC:$AC,0)),"")</f>
        <v/>
      </c>
      <c r="D29" s="94" t="str">
        <f>IFERROR(INDEX('🔥 Pipeline'!$I:$I,MATCH(1,'⚙ Pipeline Engine'!$AC:$AC,0)),"")</f>
        <v/>
      </c>
      <c r="E29" s="94" t="str">
        <f>IFERROR(INDEX('🔥 Pipeline'!$H:$H,MATCH(1,'⚙ Pipeline Engine'!$AC:$AC,0)),"")</f>
        <v/>
      </c>
      <c r="F29" s="94" t="str">
        <f>IFERROR(INDEX('🔥 Pipeline'!$G:$G,MATCH(1,'⚙ Pipeline Engine'!$AC:$AC,0)),"")</f>
        <v/>
      </c>
    </row>
    <row r="30" spans="1:17" ht="15" customHeight="1">
      <c r="A30" s="94" t="str">
        <f>IFERROR(INDEX('🔥 Pipeline'!$C:$C,MATCH(2,'⚙ Pipeline Engine'!$AC:$AC,0)),"")</f>
        <v/>
      </c>
      <c r="B30" s="94" t="str">
        <f>IFERROR(INDEX('🔥 Pipeline'!$B:$B,MATCH(2,'⚙ Pipeline Engine'!$AC:$AC,0)),"")</f>
        <v/>
      </c>
      <c r="C30" s="94" t="str">
        <f>IFERROR(INDEX('🔥 Pipeline'!$E:$E,MATCH(2,'⚙ Pipeline Engine'!$AC:$AC,0)),"")</f>
        <v/>
      </c>
      <c r="D30" s="94" t="str">
        <f>IFERROR(INDEX('🔥 Pipeline'!$I:$I,MATCH(2,'⚙ Pipeline Engine'!$AC:$AC,0)),"")</f>
        <v/>
      </c>
      <c r="E30" s="94" t="str">
        <f>IFERROR(INDEX('🔥 Pipeline'!$H:$H,MATCH(2,'⚙ Pipeline Engine'!$AC:$AC,0)),"")</f>
        <v/>
      </c>
      <c r="F30" s="94" t="str">
        <f>IFERROR(INDEX('🔥 Pipeline'!$G:$G,MATCH(2,'⚙ Pipeline Engine'!$AC:$AC,0)),"")</f>
        <v/>
      </c>
    </row>
    <row r="31" spans="1:17" ht="15" customHeight="1">
      <c r="A31" s="94" t="str">
        <f>IFERROR(INDEX('🔥 Pipeline'!$C:$C,MATCH(3,'⚙ Pipeline Engine'!$AC:$AC,0)),"")</f>
        <v/>
      </c>
      <c r="B31" s="94" t="str">
        <f>IFERROR(INDEX('🔥 Pipeline'!$B:$B,MATCH(3,'⚙ Pipeline Engine'!$AC:$AC,0)),"")</f>
        <v/>
      </c>
      <c r="C31" s="94" t="str">
        <f>IFERROR(INDEX('🔥 Pipeline'!$E:$E,MATCH(3,'⚙ Pipeline Engine'!$AC:$AC,0)),"")</f>
        <v/>
      </c>
      <c r="D31" s="94" t="str">
        <f>IFERROR(INDEX('🔥 Pipeline'!$I:$I,MATCH(3,'⚙ Pipeline Engine'!$AC:$AC,0)),"")</f>
        <v/>
      </c>
      <c r="E31" s="94" t="str">
        <f>IFERROR(INDEX('🔥 Pipeline'!$H:$H,MATCH(3,'⚙ Pipeline Engine'!$AC:$AC,0)),"")</f>
        <v/>
      </c>
      <c r="F31" s="94" t="str">
        <f>IFERROR(INDEX('🔥 Pipeline'!$G:$G,MATCH(3,'⚙ Pipeline Engine'!$AC:$AC,0)),"")</f>
        <v/>
      </c>
    </row>
    <row r="32" spans="1:17" ht="15" customHeight="1">
      <c r="A32" s="94" t="str">
        <f>IFERROR(INDEX('🔥 Pipeline'!$C:$C,MATCH(4,'⚙ Pipeline Engine'!$AC:$AC,0)),"")</f>
        <v/>
      </c>
      <c r="B32" s="94" t="str">
        <f>IFERROR(INDEX('🔥 Pipeline'!$B:$B,MATCH(4,'⚙ Pipeline Engine'!$AC:$AC,0)),"")</f>
        <v/>
      </c>
      <c r="C32" s="94" t="str">
        <f>IFERROR(INDEX('🔥 Pipeline'!$E:$E,MATCH(4,'⚙ Pipeline Engine'!$AC:$AC,0)),"")</f>
        <v/>
      </c>
      <c r="D32" s="94" t="str">
        <f>IFERROR(INDEX('🔥 Pipeline'!$I:$I,MATCH(4,'⚙ Pipeline Engine'!$AC:$AC,0)),"")</f>
        <v/>
      </c>
      <c r="E32" s="94" t="str">
        <f>IFERROR(INDEX('🔥 Pipeline'!$H:$H,MATCH(4,'⚙ Pipeline Engine'!$AC:$AC,0)),"")</f>
        <v/>
      </c>
      <c r="F32" s="94" t="str">
        <f>IFERROR(INDEX('🔥 Pipeline'!$G:$G,MATCH(4,'⚙ Pipeline Engine'!$AC:$AC,0)),"")</f>
        <v/>
      </c>
    </row>
    <row r="33" spans="1:6" ht="15" customHeight="1">
      <c r="A33" s="94" t="str">
        <f>IFERROR(INDEX('🔥 Pipeline'!$C:$C,MATCH(5,'⚙ Pipeline Engine'!$AC:$AC,0)),"")</f>
        <v/>
      </c>
      <c r="B33" s="94" t="str">
        <f>IFERROR(INDEX('🔥 Pipeline'!$B:$B,MATCH(5,'⚙ Pipeline Engine'!$AC:$AC,0)),"")</f>
        <v/>
      </c>
      <c r="C33" s="94" t="str">
        <f>IFERROR(INDEX('🔥 Pipeline'!$E:$E,MATCH(5,'⚙ Pipeline Engine'!$AC:$AC,0)),"")</f>
        <v/>
      </c>
      <c r="D33" s="94" t="str">
        <f>IFERROR(INDEX('🔥 Pipeline'!$I:$I,MATCH(5,'⚙ Pipeline Engine'!$AC:$AC,0)),"")</f>
        <v/>
      </c>
      <c r="E33" s="94" t="str">
        <f>IFERROR(INDEX('🔥 Pipeline'!$H:$H,MATCH(5,'⚙ Pipeline Engine'!$AC:$AC,0)),"")</f>
        <v/>
      </c>
      <c r="F33" s="94" t="str">
        <f>IFERROR(INDEX('🔥 Pipeline'!$G:$G,MATCH(5,'⚙ Pipeline Engine'!$AC:$AC,0)),"")</f>
        <v/>
      </c>
    </row>
    <row r="34" spans="1:6" ht="15" customHeight="1">
      <c r="A34" s="94" t="str">
        <f>IFERROR(INDEX('🔥 Pipeline'!$C:$C,MATCH(6,'⚙ Pipeline Engine'!$AC:$AC,0)),"")</f>
        <v/>
      </c>
      <c r="B34" s="94" t="str">
        <f>IFERROR(INDEX('🔥 Pipeline'!$B:$B,MATCH(6,'⚙ Pipeline Engine'!$AC:$AC,0)),"")</f>
        <v/>
      </c>
      <c r="C34" s="94" t="str">
        <f>IFERROR(INDEX('🔥 Pipeline'!$E:$E,MATCH(6,'⚙ Pipeline Engine'!$AC:$AC,0)),"")</f>
        <v/>
      </c>
      <c r="D34" s="94" t="str">
        <f>IFERROR(INDEX('🔥 Pipeline'!$I:$I,MATCH(6,'⚙ Pipeline Engine'!$AC:$AC,0)),"")</f>
        <v/>
      </c>
      <c r="E34" s="94" t="str">
        <f>IFERROR(INDEX('🔥 Pipeline'!$H:$H,MATCH(6,'⚙ Pipeline Engine'!$AC:$AC,0)),"")</f>
        <v/>
      </c>
      <c r="F34" s="94" t="str">
        <f>IFERROR(INDEX('🔥 Pipeline'!$G:$G,MATCH(6,'⚙ Pipeline Engine'!$AC:$AC,0)),"")</f>
        <v/>
      </c>
    </row>
    <row r="35" spans="1:6" ht="15" hidden="1" customHeight="1"/>
    <row r="36" spans="1:6" ht="15" hidden="1" customHeight="1"/>
    <row r="37" spans="1:6" ht="15" hidden="1" customHeight="1"/>
  </sheetData>
  <sheetProtection sheet="1" sort="0" autoFilter="0"/>
  <autoFilter ref="A9:O23" xr:uid="{00000000-0009-0000-0000-000003000000}"/>
  <mergeCells count="8">
    <mergeCell ref="A8:Q8"/>
    <mergeCell ref="A26:F26"/>
    <mergeCell ref="A27:F27"/>
    <mergeCell ref="A1:Q1"/>
    <mergeCell ref="A3:Q3"/>
    <mergeCell ref="A4:Q4"/>
    <mergeCell ref="A5:Q5"/>
    <mergeCell ref="A7:Q7"/>
  </mergeCells>
  <conditionalFormatting sqref="A10:A23">
    <cfRule type="expression" dxfId="51" priority="2">
      <formula>AND($A10&lt;&gt;"",COUNTIF($A$10:$A$23,$A10)&gt;1)</formula>
    </cfRule>
  </conditionalFormatting>
  <conditionalFormatting sqref="A10:O23">
    <cfRule type="expression" dxfId="50" priority="5">
      <formula>$B10="Open"</formula>
    </cfRule>
    <cfRule type="expression" dxfId="49" priority="6">
      <formula>$B10="Reserved"</formula>
    </cfRule>
  </conditionalFormatting>
  <conditionalFormatting sqref="B10:B23">
    <cfRule type="cellIs" dxfId="48" priority="7" operator="equal">
      <formula>"Occupied"</formula>
    </cfRule>
    <cfRule type="cellIs" dxfId="47" priority="8" operator="equal">
      <formula>"Open"</formula>
    </cfRule>
    <cfRule type="cellIs" dxfId="46" priority="9" operator="equal">
      <formula>"Reserved"</formula>
    </cfRule>
  </conditionalFormatting>
  <conditionalFormatting sqref="C10:C23">
    <cfRule type="expression" dxfId="45" priority="3">
      <formula>AND($C10&lt;&gt;"",COUNTIF(DO_NOT_READMIT,$C10)&gt;0)</formula>
    </cfRule>
  </conditionalFormatting>
  <conditionalFormatting sqref="J10:J23">
    <cfRule type="expression" dxfId="44" priority="4">
      <formula>COUNTIF(NON_CONTRACTED,$J10)&gt;0</formula>
    </cfRule>
  </conditionalFormatting>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41"/>
  <sheetViews>
    <sheetView showGridLines="0" zoomScale="140" zoomScaleNormal="140" workbookViewId="0">
      <pane ySplit="9" topLeftCell="A10" activePane="bottomLeft" state="frozen"/>
      <selection pane="bottomLeft" activeCell="A10" sqref="A10"/>
    </sheetView>
  </sheetViews>
  <sheetFormatPr defaultColWidth="0" defaultRowHeight="15" zeroHeight="1"/>
  <cols>
    <col min="1" max="1" width="20" customWidth="1"/>
    <col min="2" max="2" width="13"/>
    <col min="3" max="3" width="24" customWidth="1"/>
    <col min="4" max="4" width="12" customWidth="1"/>
    <col min="5" max="5" width="11" customWidth="1"/>
    <col min="6" max="6" width="13"/>
    <col min="7" max="7" width="12" customWidth="1"/>
    <col min="8" max="8" width="11" customWidth="1"/>
    <col min="9" max="9" width="10" customWidth="1"/>
    <col min="10" max="10" width="22" customWidth="1"/>
    <col min="11" max="11" width="13"/>
    <col min="12" max="12" width="13" hidden="1"/>
    <col min="13" max="13" width="11" customWidth="1"/>
    <col min="14" max="14" width="13" hidden="1"/>
    <col min="15" max="15" width="9" customWidth="1"/>
    <col min="16" max="16" width="8" hidden="1" customWidth="1"/>
    <col min="17" max="17" width="12" customWidth="1"/>
    <col min="18" max="16384" width="13" hidden="1"/>
  </cols>
  <sheetData>
    <row r="1" spans="1:17" ht="25.5" customHeight="1">
      <c r="A1" s="301" t="s">
        <v>191</v>
      </c>
      <c r="B1" s="301"/>
      <c r="C1" s="301"/>
      <c r="D1" s="301"/>
      <c r="E1" s="301"/>
      <c r="F1" s="301"/>
      <c r="G1" s="301"/>
      <c r="H1" s="301"/>
      <c r="I1" s="301"/>
      <c r="J1" s="301"/>
      <c r="K1" s="301"/>
      <c r="L1" s="301"/>
      <c r="M1" s="301"/>
      <c r="N1" s="301"/>
      <c r="O1" s="301"/>
      <c r="P1" s="301"/>
      <c r="Q1" s="301"/>
    </row>
    <row r="2" spans="1:17" ht="18" customHeight="1">
      <c r="A2" s="73" t="str">
        <f>"Census: "&amp;(COUNTIF(B11:B16,"Occupied")+COUNTIF(B18:B23,"Occupied"))&amp;"/12"</f>
        <v>Census: 9/12</v>
      </c>
      <c r="B2" s="70"/>
      <c r="C2" s="73" t="str">
        <f>"Reserved: "&amp;(COUNTIF(B11:B16,"Reserved")+COUNTIF(B18:B23,"Reserved"))</f>
        <v>Reserved: 1</v>
      </c>
      <c r="D2" s="70"/>
      <c r="E2" s="73" t="str">
        <f>"Open: "&amp;(COUNTIF(B11:B16,"Open")+COUNTIF(B18:B23,"Open"))</f>
        <v>Open: 2</v>
      </c>
      <c r="F2" s="70"/>
      <c r="G2" s="73" t="str">
        <f>TEXT((COUNTIF(B11:B16,"Occupied")+COUNTIF(B18:B23,"Occupied"))/12,"0%")&amp;" capacity"</f>
        <v>75% capacity</v>
      </c>
      <c r="H2" s="70"/>
      <c r="I2" s="73" t="str">
        <f ca="1">IFERROR(COUNTIFS(B11:B16,"Occupied",H11:H16,"&gt;="&amp;TODAY(),H11:H16,"&lt;="&amp;TODAY()+7)&amp;" DC within 7 days","0 DC within 7 days")</f>
        <v>2 DC within 7 days</v>
      </c>
      <c r="J2" s="70"/>
      <c r="K2" s="70"/>
      <c r="L2" s="70"/>
      <c r="M2" s="70"/>
    </row>
    <row r="3" spans="1:17" ht="3.75" customHeight="1">
      <c r="A3" s="333"/>
      <c r="B3" s="333"/>
      <c r="C3" s="333"/>
      <c r="D3" s="333"/>
      <c r="E3" s="333"/>
      <c r="F3" s="333"/>
      <c r="G3" s="333"/>
      <c r="H3" s="333"/>
      <c r="I3" s="333"/>
      <c r="J3" s="333"/>
      <c r="K3" s="333"/>
      <c r="L3" s="333"/>
      <c r="M3" s="333"/>
      <c r="N3" s="333"/>
      <c r="O3" s="333"/>
      <c r="P3" s="333"/>
      <c r="Q3" s="333"/>
    </row>
    <row r="4" spans="1:17" ht="15.75" customHeight="1">
      <c r="A4" s="302" t="s">
        <v>173</v>
      </c>
      <c r="B4" s="302"/>
      <c r="C4" s="302"/>
      <c r="D4" s="302"/>
      <c r="E4" s="302"/>
      <c r="F4" s="302"/>
      <c r="G4" s="302"/>
      <c r="H4" s="302"/>
      <c r="I4" s="302"/>
      <c r="J4" s="302"/>
      <c r="K4" s="302"/>
      <c r="L4" s="302"/>
      <c r="M4" s="302"/>
      <c r="N4" s="302"/>
      <c r="O4" s="302"/>
      <c r="P4" s="302"/>
      <c r="Q4" s="302"/>
    </row>
    <row r="5" spans="1:17" ht="4.5" customHeight="1">
      <c r="A5" s="334"/>
      <c r="B5" s="334"/>
      <c r="C5" s="334"/>
      <c r="D5" s="334"/>
      <c r="E5" s="334"/>
      <c r="F5" s="334"/>
      <c r="G5" s="334"/>
      <c r="H5" s="334"/>
      <c r="I5" s="334"/>
      <c r="J5" s="334"/>
      <c r="K5" s="334"/>
      <c r="L5" s="334"/>
      <c r="M5" s="334"/>
      <c r="N5" s="334"/>
      <c r="O5" s="334"/>
      <c r="P5" s="334"/>
      <c r="Q5" s="334"/>
    </row>
    <row r="6" spans="1:17" ht="13.5" customHeight="1">
      <c r="A6" s="74" t="s">
        <v>174</v>
      </c>
      <c r="C6" s="75"/>
      <c r="D6" s="76" t="s">
        <v>175</v>
      </c>
      <c r="E6" s="77"/>
      <c r="G6" s="78" t="s">
        <v>176</v>
      </c>
      <c r="I6" s="79"/>
      <c r="J6" s="80" t="s">
        <v>177</v>
      </c>
      <c r="K6" s="81"/>
      <c r="L6" s="82"/>
      <c r="M6" s="70"/>
    </row>
    <row r="7" spans="1:17" ht="4.5" customHeight="1">
      <c r="A7" s="334"/>
      <c r="B7" s="334"/>
      <c r="C7" s="334"/>
      <c r="D7" s="334"/>
      <c r="E7" s="334"/>
      <c r="F7" s="334"/>
      <c r="G7" s="334"/>
      <c r="H7" s="334"/>
      <c r="I7" s="334"/>
      <c r="J7" s="334"/>
      <c r="K7" s="334"/>
      <c r="L7" s="334"/>
      <c r="M7" s="334"/>
      <c r="N7" s="334"/>
      <c r="O7" s="334"/>
      <c r="P7" s="334"/>
      <c r="Q7" s="334"/>
    </row>
    <row r="8" spans="1:17" ht="4.5" customHeight="1">
      <c r="A8" s="334"/>
      <c r="B8" s="334"/>
      <c r="C8" s="334"/>
      <c r="D8" s="334"/>
      <c r="E8" s="334"/>
      <c r="F8" s="334"/>
      <c r="G8" s="334"/>
      <c r="H8" s="334"/>
      <c r="I8" s="334"/>
      <c r="J8" s="334"/>
      <c r="K8" s="334"/>
      <c r="L8" s="334"/>
      <c r="M8" s="334"/>
      <c r="N8" s="334"/>
      <c r="O8" s="334"/>
      <c r="P8" s="334"/>
      <c r="Q8" s="334"/>
    </row>
    <row r="9" spans="1:17" ht="27.75" customHeight="1">
      <c r="A9" s="83" t="s">
        <v>178</v>
      </c>
      <c r="B9" s="83" t="s">
        <v>78</v>
      </c>
      <c r="C9" s="83" t="s">
        <v>76</v>
      </c>
      <c r="D9" s="83" t="s">
        <v>79</v>
      </c>
      <c r="E9" s="83" t="s">
        <v>80</v>
      </c>
      <c r="F9" s="83" t="s">
        <v>81</v>
      </c>
      <c r="G9" s="83" t="s">
        <v>179</v>
      </c>
      <c r="H9" s="83" t="s">
        <v>90</v>
      </c>
      <c r="I9" s="83" t="s">
        <v>180</v>
      </c>
      <c r="J9" s="83" t="s">
        <v>83</v>
      </c>
      <c r="K9" s="83" t="s">
        <v>84</v>
      </c>
      <c r="L9" s="83" t="s">
        <v>181</v>
      </c>
      <c r="M9" s="83" t="s">
        <v>85</v>
      </c>
      <c r="N9" s="83" t="s">
        <v>182</v>
      </c>
      <c r="O9" s="83" t="s">
        <v>183</v>
      </c>
      <c r="P9" s="84" t="s">
        <v>184</v>
      </c>
      <c r="Q9" s="83" t="s">
        <v>185</v>
      </c>
    </row>
    <row r="10" spans="1:17" ht="24" customHeight="1">
      <c r="A10" s="303" t="str">
        <f>"— HOUSE 1 · 22913 —   "&amp;COUNTIF(B11:B16,"Occupied")&amp;"/6 occupied"</f>
        <v>— HOUSE 1 · 22913 —   5/6 occupied</v>
      </c>
      <c r="B10" s="303"/>
      <c r="C10" s="303"/>
      <c r="D10" s="303"/>
      <c r="E10" s="303"/>
      <c r="F10" s="303"/>
      <c r="G10" s="281"/>
      <c r="H10" s="282"/>
      <c r="I10" s="283"/>
      <c r="J10" s="284"/>
      <c r="K10" s="284"/>
      <c r="L10" s="283"/>
      <c r="M10" s="283"/>
      <c r="N10" s="283"/>
      <c r="O10" s="283"/>
      <c r="P10" s="285"/>
      <c r="Q10" s="286"/>
    </row>
    <row r="11" spans="1:17" ht="24" customHeight="1">
      <c r="A11" s="85" t="s">
        <v>143</v>
      </c>
      <c r="B11" s="85" t="str">
        <f>IF($A11="","",IF(COUNTIF('📝 Roster'!$B:$B,$A11)=0,"Open",IF(IFERROR(INDEX('📝 Roster'!$C:$C,MATCH($A11,'📝 Roster'!$B:$B,0)),"")="","Open",INDEX('📝 Roster'!$C:$C,MATCH($A11,'📝 Roster'!$B:$B,0)))))</f>
        <v>Occupied</v>
      </c>
      <c r="C11" s="86" t="str">
        <f>IF($B11="Open","",IFERROR(INDEX('📝 Roster'!$A:$A,MATCH($A11,'📝 Roster'!$B:$B,0)),""))</f>
        <v>Allisa Leuvrey</v>
      </c>
      <c r="D11" s="87">
        <f>IF($B11="Open","",IFERROR(INDEX('📝 Roster'!$D:$D,MATCH($A11,'📝 Roster'!$B:$B,0)),""))</f>
        <v>46185</v>
      </c>
      <c r="E11" s="85" t="str">
        <f>IF($B11="Open","",IFERROR(INDEX('📝 Roster'!$E:$E,MATCH($A11,'📝 Roster'!$B:$B,0)),""))</f>
        <v>DTX</v>
      </c>
      <c r="F11" s="85" t="str">
        <f>IF($B11="Open","",IFERROR(INDEX('📝 Roster'!$F:$F,MATCH($A11,'📝 Roster'!$B:$B,0)),""))</f>
        <v>DTX</v>
      </c>
      <c r="G11" s="88">
        <f>IF($B11="Open","",IFERROR(INDEX('📝 Roster'!$G:$G,MATCH($A11,'📝 Roster'!$B:$B,0)),""))</f>
        <v>7</v>
      </c>
      <c r="H11" s="87">
        <f t="shared" ref="H11:H16" si="0">IF($Q11&lt;&gt;"",$Q11,IF(AND($D11&lt;&gt;"",$G11&lt;&gt;""),INT($D11)+$G11,""))</f>
        <v>46192</v>
      </c>
      <c r="I11" s="85">
        <f t="shared" ref="I11:I16" ca="1" si="1">IF(H11="","",IF(H11&lt;TODAY(),"PAST ("&amp;INT(TODAY()-H11)&amp;"d ago)",IF(H11=TODAY(),"TODAY",INT(H11-TODAY()))))</f>
        <v>2</v>
      </c>
      <c r="J11" s="89" t="str">
        <f>IF($B11="Open","",IFERROR(INDEX('📝 Roster'!$H:$H,MATCH($A11,'📝 Roster'!$B:$B,0)),""))</f>
        <v>Blue Shield CA</v>
      </c>
      <c r="K11" s="89" t="str">
        <f>IF($B11="Open","",IFERROR(INDEX('📝 Roster'!$I:$I,MATCH($A11,'📝 Roster'!$B:$B,0)),""))</f>
        <v>web</v>
      </c>
      <c r="L11" s="85" t="str">
        <f>IF($B11="Open","",IFERROR(INDEX('📝 Roster'!$K:$K,MATCH($A11,'📝 Roster'!$B:$B,0)),""))</f>
        <v>N</v>
      </c>
      <c r="M11" s="85" t="str">
        <f>IF($B11="Open","",IFERROR(INDEX('📝 Roster'!$J:$J,MATCH($A11,'📝 Roster'!$B:$B,0)),""))</f>
        <v>Amy</v>
      </c>
      <c r="N11" s="90">
        <f>IF($B11="Open","",IFERROR(INDEX('📝 Roster'!$L:$L,MATCH($A11,'📝 Roster'!$B:$B,0)),""))</f>
        <v>0</v>
      </c>
      <c r="O11" s="90">
        <f>IF($B11="Open","",IFERROR(INDEX('📝 Roster'!$M:$M,MATCH($A11,'📝 Roster'!$B:$B,0)),""))</f>
        <v>0</v>
      </c>
      <c r="P11" s="91">
        <f t="shared" ref="P11:P16" si="2">IFERROR(MATCH($A11,HPE_ROOMS,0),99)</f>
        <v>1</v>
      </c>
      <c r="Q11" s="92" t="str">
        <f>IFERROR(IF(INDEX('📝 Roster'!$N:$N,MATCH($A11,'📝 Roster'!$B:$B,0))=0,"",INDEX('📝 Roster'!$N:$N,MATCH($A11,'📝 Roster'!$B:$B,0))),"")</f>
        <v/>
      </c>
    </row>
    <row r="12" spans="1:17" ht="24" customHeight="1">
      <c r="A12" s="85" t="s">
        <v>145</v>
      </c>
      <c r="B12" s="85" t="str">
        <f>IF($A12="","",IF(COUNTIF('📝 Roster'!$B:$B,$A12)=0,"Open",IF(IFERROR(INDEX('📝 Roster'!$C:$C,MATCH($A12,'📝 Roster'!$B:$B,0)),"")="","Open",INDEX('📝 Roster'!$C:$C,MATCH($A12,'📝 Roster'!$B:$B,0)))))</f>
        <v>Occupied</v>
      </c>
      <c r="C12" s="86" t="str">
        <f>IF($B12="Open","",IFERROR(INDEX('📝 Roster'!$A:$A,MATCH($A12,'📝 Roster'!$B:$B,0)),""))</f>
        <v>Cree Lamere</v>
      </c>
      <c r="D12" s="87">
        <f>IF($B12="Open","",IFERROR(INDEX('📝 Roster'!$D:$D,MATCH($A12,'📝 Roster'!$B:$B,0)),""))</f>
        <v>46170</v>
      </c>
      <c r="E12" s="85" t="str">
        <f>IF($B12="Open","",IFERROR(INDEX('📝 Roster'!$E:$E,MATCH($A12,'📝 Roster'!$B:$B,0)),""))</f>
        <v>DTX/RTC</v>
      </c>
      <c r="F12" s="85" t="str">
        <f>IF($B12="Open","",IFERROR(INDEX('📝 Roster'!$F:$F,MATCH($A12,'📝 Roster'!$B:$B,0)),""))</f>
        <v>DTX/RTC</v>
      </c>
      <c r="G12" s="88">
        <f>IF($B12="Open","",IFERROR(INDEX('📝 Roster'!$G:$G,MATCH($A12,'📝 Roster'!$B:$B,0)),""))</f>
        <v>30</v>
      </c>
      <c r="H12" s="87">
        <f t="shared" si="0"/>
        <v>46202</v>
      </c>
      <c r="I12" s="85">
        <f t="shared" ca="1" si="1"/>
        <v>12</v>
      </c>
      <c r="J12" s="89" t="str">
        <f>IF($B12="Open","",IFERROR(INDEX('📝 Roster'!$H:$H,MATCH($A12,'📝 Roster'!$B:$B,0)),""))</f>
        <v>Blue Shield CA</v>
      </c>
      <c r="K12" s="89" t="str">
        <f>IF($B12="Open","",IFERROR(INDEX('📝 Roster'!$I:$I,MATCH($A12,'📝 Roster'!$B:$B,0)),""))</f>
        <v>Ahbra/Profound</v>
      </c>
      <c r="L12" s="85" t="str">
        <f>IF($B12="Open","",IFERROR(INDEX('📝 Roster'!$K:$K,MATCH($A12,'📝 Roster'!$B:$B,0)),""))</f>
        <v>N</v>
      </c>
      <c r="M12" s="85" t="str">
        <f>IF($B12="Open","",IFERROR(INDEX('📝 Roster'!$J:$J,MATCH($A12,'📝 Roster'!$B:$B,0)),""))</f>
        <v>Amy</v>
      </c>
      <c r="N12" s="90">
        <f>IF($B12="Open","",IFERROR(INDEX('📝 Roster'!$L:$L,MATCH($A12,'📝 Roster'!$B:$B,0)),""))</f>
        <v>0</v>
      </c>
      <c r="O12" s="90">
        <f>IF($B12="Open","",IFERROR(INDEX('📝 Roster'!$M:$M,MATCH($A12,'📝 Roster'!$B:$B,0)),""))</f>
        <v>0</v>
      </c>
      <c r="P12" s="91">
        <f t="shared" si="2"/>
        <v>2</v>
      </c>
      <c r="Q12" s="92">
        <f>IFERROR(IF(INDEX('📝 Roster'!$N:$N,MATCH($A12,'📝 Roster'!$B:$B,0))=0,"",INDEX('📝 Roster'!$N:$N,MATCH($A12,'📝 Roster'!$B:$B,0))),"")</f>
        <v>46202</v>
      </c>
    </row>
    <row r="13" spans="1:17" ht="24" customHeight="1">
      <c r="A13" s="85" t="s">
        <v>148</v>
      </c>
      <c r="B13" s="85" t="str">
        <f>IF($A13="","",IF(COUNTIF('📝 Roster'!$B:$B,$A13)=0,"Open",IF(IFERROR(INDEX('📝 Roster'!$C:$C,MATCH($A13,'📝 Roster'!$B:$B,0)),"")="","Open",INDEX('📝 Roster'!$C:$C,MATCH($A13,'📝 Roster'!$B:$B,0)))))</f>
        <v>Occupied</v>
      </c>
      <c r="C13" s="86" t="str">
        <f>IF($B13="Open","",IFERROR(INDEX('📝 Roster'!$A:$A,MATCH($A13,'📝 Roster'!$B:$B,0)),""))</f>
        <v>Rhonda Baim</v>
      </c>
      <c r="D13" s="87">
        <f>IF($B13="Open","",IFERROR(INDEX('📝 Roster'!$D:$D,MATCH($A13,'📝 Roster'!$B:$B,0)),""))</f>
        <v>46166</v>
      </c>
      <c r="E13" s="85" t="str">
        <f>IF($B13="Open","",IFERROR(INDEX('📝 Roster'!$E:$E,MATCH($A13,'📝 Roster'!$B:$B,0)),""))</f>
        <v>DTX</v>
      </c>
      <c r="F13" s="85" t="str">
        <f>IF($B13="Open","",IFERROR(INDEX('📝 Roster'!$F:$F,MATCH($A13,'📝 Roster'!$B:$B,0)),""))</f>
        <v>DTX</v>
      </c>
      <c r="G13" s="88">
        <f>IF($B13="Open","",IFERROR(INDEX('📝 Roster'!$G:$G,MATCH($A13,'📝 Roster'!$B:$B,0)),""))</f>
        <v>30</v>
      </c>
      <c r="H13" s="87">
        <f t="shared" si="0"/>
        <v>46196</v>
      </c>
      <c r="I13" s="85">
        <f t="shared" ca="1" si="1"/>
        <v>6</v>
      </c>
      <c r="J13" s="89" t="str">
        <f>IF($B13="Open","",IFERROR(INDEX('📝 Roster'!$H:$H,MATCH($A13,'📝 Roster'!$B:$B,0)),""))</f>
        <v>Anthem BC</v>
      </c>
      <c r="K13" s="89" t="str">
        <f>IF($B13="Open","",IFERROR(INDEX('📝 Roster'!$I:$I,MATCH($A13,'📝 Roster'!$B:$B,0)),""))</f>
        <v>Web</v>
      </c>
      <c r="L13" s="85" t="str">
        <f>IF($B13="Open","",IFERROR(INDEX('📝 Roster'!$K:$K,MATCH($A13,'📝 Roster'!$B:$B,0)),""))</f>
        <v>N</v>
      </c>
      <c r="M13" s="85" t="str">
        <f>IF($B13="Open","",IFERROR(INDEX('📝 Roster'!$J:$J,MATCH($A13,'📝 Roster'!$B:$B,0)),""))</f>
        <v>Nelson</v>
      </c>
      <c r="N13" s="90">
        <f>IF($B13="Open","",IFERROR(INDEX('📝 Roster'!$L:$L,MATCH($A13,'📝 Roster'!$B:$B,0)),""))</f>
        <v>0</v>
      </c>
      <c r="O13" s="90">
        <f>IF($B13="Open","",IFERROR(INDEX('📝 Roster'!$M:$M,MATCH($A13,'📝 Roster'!$B:$B,0)),""))</f>
        <v>0</v>
      </c>
      <c r="P13" s="91">
        <f t="shared" si="2"/>
        <v>3</v>
      </c>
      <c r="Q13" s="92" t="str">
        <f>IFERROR(IF(INDEX('📝 Roster'!$N:$N,MATCH($A13,'📝 Roster'!$B:$B,0))=0,"",INDEX('📝 Roster'!$N:$N,MATCH($A13,'📝 Roster'!$B:$B,0))),"")</f>
        <v/>
      </c>
    </row>
    <row r="14" spans="1:17" ht="24" customHeight="1">
      <c r="A14" s="85" t="s">
        <v>151</v>
      </c>
      <c r="B14" s="85" t="str">
        <f>IF($A14="","",IF(COUNTIF('📝 Roster'!$B:$B,$A14)=0,"Open",IF(IFERROR(INDEX('📝 Roster'!$C:$C,MATCH($A14,'📝 Roster'!$B:$B,0)),"")="","Open",INDEX('📝 Roster'!$C:$C,MATCH($A14,'📝 Roster'!$B:$B,0)))))</f>
        <v>Occupied</v>
      </c>
      <c r="C14" s="86" t="str">
        <f>IF($B14="Open","",IFERROR(INDEX('📝 Roster'!$A:$A,MATCH($A14,'📝 Roster'!$B:$B,0)),""))</f>
        <v>Aaron Dufresne</v>
      </c>
      <c r="D14" s="87">
        <f>IF($B14="Open","",IFERROR(INDEX('📝 Roster'!$D:$D,MATCH($A14,'📝 Roster'!$B:$B,0)),""))</f>
        <v>46171</v>
      </c>
      <c r="E14" s="85" t="str">
        <f>IF($B14="Open","",IFERROR(INDEX('📝 Roster'!$E:$E,MATCH($A14,'📝 Roster'!$B:$B,0)),""))</f>
        <v>DTX</v>
      </c>
      <c r="F14" s="85" t="str">
        <f>IF($B14="Open","",IFERROR(INDEX('📝 Roster'!$F:$F,MATCH($A14,'📝 Roster'!$B:$B,0)),""))</f>
        <v>DTX</v>
      </c>
      <c r="G14" s="88">
        <f>IF($B14="Open","",IFERROR(INDEX('📝 Roster'!$G:$G,MATCH($A14,'📝 Roster'!$B:$B,0)),""))</f>
        <v>30</v>
      </c>
      <c r="H14" s="87">
        <f t="shared" si="0"/>
        <v>46201</v>
      </c>
      <c r="I14" s="85">
        <f t="shared" ca="1" si="1"/>
        <v>11</v>
      </c>
      <c r="J14" s="89" t="str">
        <f>IF($B14="Open","",IFERROR(INDEX('📝 Roster'!$H:$H,MATCH($A14,'📝 Roster'!$B:$B,0)),""))</f>
        <v>UMR/UHC</v>
      </c>
      <c r="K14" s="89" t="str">
        <f>IF($B14="Open","",IFERROR(INDEX('📝 Roster'!$I:$I,MATCH($A14,'📝 Roster'!$B:$B,0)),""))</f>
        <v>Ahbra/Action IOP</v>
      </c>
      <c r="L14" s="85" t="str">
        <f>IF($B14="Open","",IFERROR(INDEX('📝 Roster'!$K:$K,MATCH($A14,'📝 Roster'!$B:$B,0)),""))</f>
        <v>N</v>
      </c>
      <c r="M14" s="85" t="str">
        <f>IF($B14="Open","",IFERROR(INDEX('📝 Roster'!$J:$J,MATCH($A14,'📝 Roster'!$B:$B,0)),""))</f>
        <v>Nelson</v>
      </c>
      <c r="N14" s="90">
        <f>IF($B14="Open","",IFERROR(INDEX('📝 Roster'!$L:$L,MATCH($A14,'📝 Roster'!$B:$B,0)),""))</f>
        <v>0</v>
      </c>
      <c r="O14" s="90">
        <f>IF($B14="Open","",IFERROR(INDEX('📝 Roster'!$M:$M,MATCH($A14,'📝 Roster'!$B:$B,0)),""))</f>
        <v>0</v>
      </c>
      <c r="P14" s="91">
        <f t="shared" si="2"/>
        <v>4</v>
      </c>
      <c r="Q14" s="92" t="str">
        <f>IFERROR(IF(INDEX('📝 Roster'!$N:$N,MATCH($A14,'📝 Roster'!$B:$B,0))=0,"",INDEX('📝 Roster'!$N:$N,MATCH($A14,'📝 Roster'!$B:$B,0))),"")</f>
        <v/>
      </c>
    </row>
    <row r="15" spans="1:17" ht="24" customHeight="1">
      <c r="A15" s="85" t="s">
        <v>154</v>
      </c>
      <c r="B15" s="85" t="str">
        <f>IF($A15="","",IF(COUNTIF('📝 Roster'!$B:$B,$A15)=0,"Open",IF(IFERROR(INDEX('📝 Roster'!$C:$C,MATCH($A15,'📝 Roster'!$B:$B,0)),"")="","Open",INDEX('📝 Roster'!$C:$C,MATCH($A15,'📝 Roster'!$B:$B,0)))))</f>
        <v>Open</v>
      </c>
      <c r="C15" s="86" t="str">
        <f>IF($B15="Open","",IFERROR(INDEX('📝 Roster'!$A:$A,MATCH($A15,'📝 Roster'!$B:$B,0)),""))</f>
        <v/>
      </c>
      <c r="D15" s="87" t="str">
        <f>IF($B15="Open","",IFERROR(INDEX('📝 Roster'!$D:$D,MATCH($A15,'📝 Roster'!$B:$B,0)),""))</f>
        <v/>
      </c>
      <c r="E15" s="85" t="str">
        <f>IF($B15="Open","",IFERROR(INDEX('📝 Roster'!$E:$E,MATCH($A15,'📝 Roster'!$B:$B,0)),""))</f>
        <v/>
      </c>
      <c r="F15" s="85" t="str">
        <f>IF($B15="Open","",IFERROR(INDEX('📝 Roster'!$F:$F,MATCH($A15,'📝 Roster'!$B:$B,0)),""))</f>
        <v/>
      </c>
      <c r="G15" s="88" t="str">
        <f>IF($B15="Open","",IFERROR(INDEX('📝 Roster'!$G:$G,MATCH($A15,'📝 Roster'!$B:$B,0)),""))</f>
        <v/>
      </c>
      <c r="H15" s="87" t="str">
        <f t="shared" si="0"/>
        <v/>
      </c>
      <c r="I15" s="85" t="str">
        <f t="shared" ca="1" si="1"/>
        <v/>
      </c>
      <c r="J15" s="89" t="str">
        <f>IF($B15="Open","",IFERROR(INDEX('📝 Roster'!$H:$H,MATCH($A15,'📝 Roster'!$B:$B,0)),""))</f>
        <v/>
      </c>
      <c r="K15" s="89" t="str">
        <f>IF($B15="Open","",IFERROR(INDEX('📝 Roster'!$I:$I,MATCH($A15,'📝 Roster'!$B:$B,0)),""))</f>
        <v/>
      </c>
      <c r="L15" s="85" t="str">
        <f>IF($B15="Open","",IFERROR(INDEX('📝 Roster'!$K:$K,MATCH($A15,'📝 Roster'!$B:$B,0)),""))</f>
        <v/>
      </c>
      <c r="M15" s="85" t="str">
        <f>IF($B15="Open","",IFERROR(INDEX('📝 Roster'!$J:$J,MATCH($A15,'📝 Roster'!$B:$B,0)),""))</f>
        <v/>
      </c>
      <c r="N15" s="90" t="str">
        <f>IF($B15="Open","",IFERROR(INDEX('📝 Roster'!$L:$L,MATCH($A15,'📝 Roster'!$B:$B,0)),""))</f>
        <v/>
      </c>
      <c r="O15" s="90" t="str">
        <f>IF($B15="Open","",IFERROR(INDEX('📝 Roster'!$M:$M,MATCH($A15,'📝 Roster'!$B:$B,0)),""))</f>
        <v/>
      </c>
      <c r="P15" s="91">
        <f t="shared" si="2"/>
        <v>5</v>
      </c>
      <c r="Q15" s="92" t="str">
        <f>IFERROR(IF(INDEX('📝 Roster'!$N:$N,MATCH($A15,'📝 Roster'!$B:$B,0))=0,"",INDEX('📝 Roster'!$N:$N,MATCH($A15,'📝 Roster'!$B:$B,0))),"")</f>
        <v/>
      </c>
    </row>
    <row r="16" spans="1:17" ht="24" customHeight="1">
      <c r="A16" s="85" t="s">
        <v>156</v>
      </c>
      <c r="B16" s="85" t="str">
        <f>IF($A16="","",IF(COUNTIF('📝 Roster'!$B:$B,$A16)=0,"Open",IF(IFERROR(INDEX('📝 Roster'!$C:$C,MATCH($A16,'📝 Roster'!$B:$B,0)),"")="","Open",INDEX('📝 Roster'!$C:$C,MATCH($A16,'📝 Roster'!$B:$B,0)))))</f>
        <v>Occupied</v>
      </c>
      <c r="C16" s="86" t="str">
        <f>IF($B16="Open","",IFERROR(INDEX('📝 Roster'!$A:$A,MATCH($A16,'📝 Roster'!$B:$B,0)),""))</f>
        <v>Jared Hamilton</v>
      </c>
      <c r="D16" s="87">
        <f>IF($B16="Open","",IFERROR(INDEX('📝 Roster'!$D:$D,MATCH($A16,'📝 Roster'!$B:$B,0)),""))</f>
        <v>46175</v>
      </c>
      <c r="E16" s="85" t="str">
        <f>IF($B16="Open","",IFERROR(INDEX('📝 Roster'!$E:$E,MATCH($A16,'📝 Roster'!$B:$B,0)),""))</f>
        <v>DTX/RTC</v>
      </c>
      <c r="F16" s="85" t="str">
        <f>IF($B16="Open","",IFERROR(INDEX('📝 Roster'!$F:$F,MATCH($A16,'📝 Roster'!$B:$B,0)),""))</f>
        <v>DTX/RTC</v>
      </c>
      <c r="G16" s="88">
        <f>IF($B16="Open","",IFERROR(INDEX('📝 Roster'!$G:$G,MATCH($A16,'📝 Roster'!$B:$B,0)),""))</f>
        <v>30</v>
      </c>
      <c r="H16" s="87">
        <f t="shared" si="0"/>
        <v>46205</v>
      </c>
      <c r="I16" s="85">
        <f t="shared" ca="1" si="1"/>
        <v>15</v>
      </c>
      <c r="J16" s="89" t="str">
        <f>IF($B16="Open","",IFERROR(INDEX('📝 Roster'!$H:$H,MATCH($A16,'📝 Roster'!$B:$B,0)),""))</f>
        <v>Blue Shield PPO</v>
      </c>
      <c r="K16" s="89" t="str">
        <f>IF($B16="Open","",IFERROR(INDEX('📝 Roster'!$I:$I,MATCH($A16,'📝 Roster'!$B:$B,0)),""))</f>
        <v>Rise</v>
      </c>
      <c r="L16" s="85" t="str">
        <f>IF($B16="Open","",IFERROR(INDEX('📝 Roster'!$K:$K,MATCH($A16,'📝 Roster'!$B:$B,0)),""))</f>
        <v>N</v>
      </c>
      <c r="M16" s="85" t="str">
        <f>IF($B16="Open","",IFERROR(INDEX('📝 Roster'!$J:$J,MATCH($A16,'📝 Roster'!$B:$B,0)),""))</f>
        <v>Amy</v>
      </c>
      <c r="N16" s="90">
        <f>IF($B16="Open","",IFERROR(INDEX('📝 Roster'!$L:$L,MATCH($A16,'📝 Roster'!$B:$B,0)),""))</f>
        <v>0</v>
      </c>
      <c r="O16" s="90">
        <f>IF($B16="Open","",IFERROR(INDEX('📝 Roster'!$M:$M,MATCH($A16,'📝 Roster'!$B:$B,0)),""))</f>
        <v>0</v>
      </c>
      <c r="P16" s="91">
        <f t="shared" si="2"/>
        <v>6</v>
      </c>
      <c r="Q16" s="92" t="str">
        <f>IFERROR(IF(INDEX('📝 Roster'!$N:$N,MATCH($A16,'📝 Roster'!$B:$B,0))=0,"",INDEX('📝 Roster'!$N:$N,MATCH($A16,'📝 Roster'!$B:$B,0))),"")</f>
        <v/>
      </c>
    </row>
    <row r="17" spans="1:17" ht="24" customHeight="1">
      <c r="A17" s="303" t="str">
        <f>"— HOUSE 2 · 22915 —   "&amp;COUNTIF(B18:B23,"Occupied")&amp;"/6 occupied"</f>
        <v>— HOUSE 2 · 22915 —   4/6 occupied</v>
      </c>
      <c r="B17" s="303"/>
      <c r="C17" s="303"/>
      <c r="D17" s="303"/>
      <c r="E17" s="303"/>
      <c r="F17" s="303"/>
      <c r="G17" s="281"/>
      <c r="H17" s="282"/>
      <c r="I17" s="283"/>
      <c r="J17" s="284"/>
      <c r="K17" s="284"/>
      <c r="L17" s="283"/>
      <c r="M17" s="283"/>
      <c r="N17" s="283"/>
      <c r="O17" s="283"/>
      <c r="P17" s="285"/>
      <c r="Q17" s="286"/>
    </row>
    <row r="18" spans="1:17" ht="24" customHeight="1">
      <c r="A18" s="85" t="s">
        <v>160</v>
      </c>
      <c r="B18" s="85" t="str">
        <f>IF($A18="","",IF(COUNTIF('📝 Roster'!$B:$B,$A18)=0,"Open",IF(IFERROR(INDEX('📝 Roster'!$C:$C,MATCH($A18,'📝 Roster'!$B:$B,0)),"")="","Open",INDEX('📝 Roster'!$C:$C,MATCH($A18,'📝 Roster'!$B:$B,0)))))</f>
        <v>Reserved</v>
      </c>
      <c r="C18" s="86" t="str">
        <f>IF($B18="Open","",IFERROR(INDEX('📝 Roster'!$A:$A,MATCH($A18,'📝 Roster'!$B:$B,0)),""))</f>
        <v>Tara Shinde</v>
      </c>
      <c r="D18" s="87">
        <f>IF($B18="Open","",IFERROR(INDEX('📝 Roster'!$D:$D,MATCH($A18,'📝 Roster'!$B:$B,0)),""))</f>
        <v>46192</v>
      </c>
      <c r="E18" s="85" t="str">
        <f>IF($B18="Open","",IFERROR(INDEX('📝 Roster'!$E:$E,MATCH($A18,'📝 Roster'!$B:$B,0)),""))</f>
        <v>DTX/RTC</v>
      </c>
      <c r="F18" s="85">
        <f>IF($B18="Open","",IFERROR(INDEX('📝 Roster'!$F:$F,MATCH($A18,'📝 Roster'!$B:$B,0)),""))</f>
        <v>0</v>
      </c>
      <c r="G18" s="88">
        <f>IF($B18="Open","",IFERROR(INDEX('📝 Roster'!$G:$G,MATCH($A18,'📝 Roster'!$B:$B,0)),""))</f>
        <v>30</v>
      </c>
      <c r="H18" s="87">
        <f t="shared" ref="H18:H23" si="3">IF($Q18&lt;&gt;"",$Q18,IF(AND($D18&lt;&gt;"",$G18&lt;&gt;""),INT($D18)+$G18,""))</f>
        <v>46222</v>
      </c>
      <c r="I18" s="85">
        <f t="shared" ref="I18:I23" ca="1" si="4">IF(H18="","",IF(H18&lt;TODAY(),"PAST ("&amp;INT(TODAY()-H18)&amp;"d ago)",IF(H18=TODAY(),"TODAY",INT(H18-TODAY()))))</f>
        <v>32</v>
      </c>
      <c r="J18" s="89" t="str">
        <f>IF($B18="Open","",IFERROR(INDEX('📝 Roster'!$H:$H,MATCH($A18,'📝 Roster'!$B:$B,0)),""))</f>
        <v>BCBS IL</v>
      </c>
      <c r="K18" s="89" t="str">
        <f>IF($B18="Open","",IFERROR(INDEX('📝 Roster'!$I:$I,MATCH($A18,'📝 Roster'!$B:$B,0)),""))</f>
        <v>web</v>
      </c>
      <c r="L18" s="85">
        <f>IF($B18="Open","",IFERROR(INDEX('📝 Roster'!$K:$K,MATCH($A18,'📝 Roster'!$B:$B,0)),""))</f>
        <v>0</v>
      </c>
      <c r="M18" s="85" t="str">
        <f>IF($B18="Open","",IFERROR(INDEX('📝 Roster'!$J:$J,MATCH($A18,'📝 Roster'!$B:$B,0)),""))</f>
        <v>Amy</v>
      </c>
      <c r="N18" s="90">
        <f>IF($B18="Open","",IFERROR(INDEX('📝 Roster'!$L:$L,MATCH($A18,'📝 Roster'!$B:$B,0)),""))</f>
        <v>0</v>
      </c>
      <c r="O18" s="90">
        <f>IF($B18="Open","",IFERROR(INDEX('📝 Roster'!$M:$M,MATCH($A18,'📝 Roster'!$B:$B,0)),""))</f>
        <v>0</v>
      </c>
      <c r="P18" s="91">
        <f t="shared" ref="P18:P23" si="5">IFERROR(MATCH($A18,HPE_ROOMS,0),99)</f>
        <v>7</v>
      </c>
      <c r="Q18" s="92" t="str">
        <f>IFERROR(IF(INDEX('📝 Roster'!$N:$N,MATCH($A18,'📝 Roster'!$B:$B,0))=0,"",INDEX('📝 Roster'!$N:$N,MATCH($A18,'📝 Roster'!$B:$B,0))),"")</f>
        <v/>
      </c>
    </row>
    <row r="19" spans="1:17" ht="24" customHeight="1">
      <c r="A19" s="85" t="s">
        <v>162</v>
      </c>
      <c r="B19" s="85" t="str">
        <f>IF($A19="","",IF(COUNTIF('📝 Roster'!$B:$B,$A19)=0,"Open",IF(IFERROR(INDEX('📝 Roster'!$C:$C,MATCH($A19,'📝 Roster'!$B:$B,0)),"")="","Open",INDEX('📝 Roster'!$C:$C,MATCH($A19,'📝 Roster'!$B:$B,0)))))</f>
        <v>Open</v>
      </c>
      <c r="C19" s="86" t="str">
        <f>IF($B19="Open","",IFERROR(INDEX('📝 Roster'!$A:$A,MATCH($A19,'📝 Roster'!$B:$B,0)),""))</f>
        <v/>
      </c>
      <c r="D19" s="87" t="str">
        <f>IF($B19="Open","",IFERROR(INDEX('📝 Roster'!$D:$D,MATCH($A19,'📝 Roster'!$B:$B,0)),""))</f>
        <v/>
      </c>
      <c r="E19" s="85" t="str">
        <f>IF($B19="Open","",IFERROR(INDEX('📝 Roster'!$E:$E,MATCH($A19,'📝 Roster'!$B:$B,0)),""))</f>
        <v/>
      </c>
      <c r="F19" s="85" t="str">
        <f>IF($B19="Open","",IFERROR(INDEX('📝 Roster'!$F:$F,MATCH($A19,'📝 Roster'!$B:$B,0)),""))</f>
        <v/>
      </c>
      <c r="G19" s="88" t="str">
        <f>IF($B19="Open","",IFERROR(INDEX('📝 Roster'!$G:$G,MATCH($A19,'📝 Roster'!$B:$B,0)),""))</f>
        <v/>
      </c>
      <c r="H19" s="87" t="str">
        <f t="shared" si="3"/>
        <v/>
      </c>
      <c r="I19" s="85" t="str">
        <f t="shared" ca="1" si="4"/>
        <v/>
      </c>
      <c r="J19" s="89" t="str">
        <f>IF($B19="Open","",IFERROR(INDEX('📝 Roster'!$H:$H,MATCH($A19,'📝 Roster'!$B:$B,0)),""))</f>
        <v/>
      </c>
      <c r="K19" s="89" t="str">
        <f>IF($B19="Open","",IFERROR(INDEX('📝 Roster'!$I:$I,MATCH($A19,'📝 Roster'!$B:$B,0)),""))</f>
        <v/>
      </c>
      <c r="L19" s="85" t="str">
        <f>IF($B19="Open","",IFERROR(INDEX('📝 Roster'!$K:$K,MATCH($A19,'📝 Roster'!$B:$B,0)),""))</f>
        <v/>
      </c>
      <c r="M19" s="85" t="str">
        <f>IF($B19="Open","",IFERROR(INDEX('📝 Roster'!$J:$J,MATCH($A19,'📝 Roster'!$B:$B,0)),""))</f>
        <v/>
      </c>
      <c r="N19" s="90" t="str">
        <f>IF($B19="Open","",IFERROR(INDEX('📝 Roster'!$L:$L,MATCH($A19,'📝 Roster'!$B:$B,0)),""))</f>
        <v/>
      </c>
      <c r="O19" s="90" t="str">
        <f>IF($B19="Open","",IFERROR(INDEX('📝 Roster'!$M:$M,MATCH($A19,'📝 Roster'!$B:$B,0)),""))</f>
        <v/>
      </c>
      <c r="P19" s="91">
        <f t="shared" si="5"/>
        <v>8</v>
      </c>
      <c r="Q19" s="92" t="str">
        <f>IFERROR(IF(INDEX('📝 Roster'!$N:$N,MATCH($A19,'📝 Roster'!$B:$B,0))=0,"",INDEX('📝 Roster'!$N:$N,MATCH($A19,'📝 Roster'!$B:$B,0))),"")</f>
        <v/>
      </c>
    </row>
    <row r="20" spans="1:17" ht="24" customHeight="1">
      <c r="A20" s="85" t="s">
        <v>164</v>
      </c>
      <c r="B20" s="85" t="str">
        <f>IF($A20="","",IF(COUNTIF('📝 Roster'!$B:$B,$A20)=0,"Open",IF(IFERROR(INDEX('📝 Roster'!$C:$C,MATCH($A20,'📝 Roster'!$B:$B,0)),"")="","Open",INDEX('📝 Roster'!$C:$C,MATCH($A20,'📝 Roster'!$B:$B,0)))))</f>
        <v>Occupied</v>
      </c>
      <c r="C20" s="86" t="str">
        <f>IF($B20="Open","",IFERROR(INDEX('📝 Roster'!$A:$A,MATCH($A20,'📝 Roster'!$B:$B,0)),""))</f>
        <v>Daniel Armiger</v>
      </c>
      <c r="D20" s="87">
        <f>IF($B20="Open","",IFERROR(INDEX('📝 Roster'!$D:$D,MATCH($A20,'📝 Roster'!$B:$B,0)),""))</f>
        <v>46182</v>
      </c>
      <c r="E20" s="85" t="str">
        <f>IF($B20="Open","",IFERROR(INDEX('📝 Roster'!$E:$E,MATCH($A20,'📝 Roster'!$B:$B,0)),""))</f>
        <v>DTX/RTC</v>
      </c>
      <c r="F20" s="85" t="str">
        <f>IF($B20="Open","",IFERROR(INDEX('📝 Roster'!$F:$F,MATCH($A20,'📝 Roster'!$B:$B,0)),""))</f>
        <v>RTC</v>
      </c>
      <c r="G20" s="88">
        <f>IF($B20="Open","",IFERROR(INDEX('📝 Roster'!$G:$G,MATCH($A20,'📝 Roster'!$B:$B,0)),""))</f>
        <v>30</v>
      </c>
      <c r="H20" s="87">
        <f t="shared" si="3"/>
        <v>46212</v>
      </c>
      <c r="I20" s="85">
        <f t="shared" ca="1" si="4"/>
        <v>22</v>
      </c>
      <c r="J20" s="89" t="str">
        <f>IF($B20="Open","",IFERROR(INDEX('📝 Roster'!$H:$H,MATCH($A20,'📝 Roster'!$B:$B,0)),""))</f>
        <v>Blue Shield CA</v>
      </c>
      <c r="K20" s="89" t="str">
        <f>IF($B20="Open","",IFERROR(INDEX('📝 Roster'!$I:$I,MATCH($A20,'📝 Roster'!$B:$B,0)),""))</f>
        <v>Readmit</v>
      </c>
      <c r="L20" s="85">
        <f>IF($B20="Open","",IFERROR(INDEX('📝 Roster'!$K:$K,MATCH($A20,'📝 Roster'!$B:$B,0)),""))</f>
        <v>0</v>
      </c>
      <c r="M20" s="85" t="str">
        <f>IF($B20="Open","",IFERROR(INDEX('📝 Roster'!$J:$J,MATCH($A20,'📝 Roster'!$B:$B,0)),""))</f>
        <v>Matthew</v>
      </c>
      <c r="N20" s="90">
        <f>IF($B20="Open","",IFERROR(INDEX('📝 Roster'!$L:$L,MATCH($A20,'📝 Roster'!$B:$B,0)),""))</f>
        <v>0</v>
      </c>
      <c r="O20" s="90">
        <f>IF($B20="Open","",IFERROR(INDEX('📝 Roster'!$M:$M,MATCH($A20,'📝 Roster'!$B:$B,0)),""))</f>
        <v>0</v>
      </c>
      <c r="P20" s="91">
        <f t="shared" si="5"/>
        <v>9</v>
      </c>
      <c r="Q20" s="92" t="str">
        <f>IFERROR(IF(INDEX('📝 Roster'!$N:$N,MATCH($A20,'📝 Roster'!$B:$B,0))=0,"",INDEX('📝 Roster'!$N:$N,MATCH($A20,'📝 Roster'!$B:$B,0))),"")</f>
        <v/>
      </c>
    </row>
    <row r="21" spans="1:17" ht="24" customHeight="1">
      <c r="A21" s="85" t="s">
        <v>166</v>
      </c>
      <c r="B21" s="85" t="str">
        <f>IF($A21="","",IF(COUNTIF('📝 Roster'!$B:$B,$A21)=0,"Open",IF(IFERROR(INDEX('📝 Roster'!$C:$C,MATCH($A21,'📝 Roster'!$B:$B,0)),"")="","Open",INDEX('📝 Roster'!$C:$C,MATCH($A21,'📝 Roster'!$B:$B,0)))))</f>
        <v>Occupied</v>
      </c>
      <c r="C21" s="86" t="str">
        <f>IF($B21="Open","",IFERROR(INDEX('📝 Roster'!$A:$A,MATCH($A21,'📝 Roster'!$B:$B,0)),""))</f>
        <v>Blayne Olivier</v>
      </c>
      <c r="D21" s="87">
        <f>IF($B21="Open","",IFERROR(INDEX('📝 Roster'!$D:$D,MATCH($A21,'📝 Roster'!$B:$B,0)),""))</f>
        <v>46186</v>
      </c>
      <c r="E21" s="85" t="str">
        <f>IF($B21="Open","",IFERROR(INDEX('📝 Roster'!$E:$E,MATCH($A21,'📝 Roster'!$B:$B,0)),""))</f>
        <v>DTX/RTC</v>
      </c>
      <c r="F21" s="85">
        <f>IF($B21="Open","",IFERROR(INDEX('📝 Roster'!$F:$F,MATCH($A21,'📝 Roster'!$B:$B,0)),""))</f>
        <v>0</v>
      </c>
      <c r="G21" s="88">
        <f>IF($B21="Open","",IFERROR(INDEX('📝 Roster'!$G:$G,MATCH($A21,'📝 Roster'!$B:$B,0)),""))</f>
        <v>30</v>
      </c>
      <c r="H21" s="87">
        <f t="shared" si="3"/>
        <v>46216</v>
      </c>
      <c r="I21" s="85">
        <f t="shared" ca="1" si="4"/>
        <v>26</v>
      </c>
      <c r="J21" s="89" t="str">
        <f>IF($B21="Open","",IFERROR(INDEX('📝 Roster'!$H:$H,MATCH($A21,'📝 Roster'!$B:$B,0)),""))</f>
        <v>Molina</v>
      </c>
      <c r="K21" s="89" t="str">
        <f>IF($B21="Open","",IFERROR(INDEX('📝 Roster'!$I:$I,MATCH($A21,'📝 Roster'!$B:$B,0)),""))</f>
        <v>Readmit</v>
      </c>
      <c r="L21" s="85" t="str">
        <f>IF($B21="Open","",IFERROR(INDEX('📝 Roster'!$K:$K,MATCH($A21,'📝 Roster'!$B:$B,0)),""))</f>
        <v>N</v>
      </c>
      <c r="M21" s="85" t="str">
        <f>IF($B21="Open","",IFERROR(INDEX('📝 Roster'!$J:$J,MATCH($A21,'📝 Roster'!$B:$B,0)),""))</f>
        <v>Amy</v>
      </c>
      <c r="N21" s="90">
        <f>IF($B21="Open","",IFERROR(INDEX('📝 Roster'!$L:$L,MATCH($A21,'📝 Roster'!$B:$B,0)),""))</f>
        <v>0</v>
      </c>
      <c r="O21" s="90">
        <f>IF($B21="Open","",IFERROR(INDEX('📝 Roster'!$M:$M,MATCH($A21,'📝 Roster'!$B:$B,0)),""))</f>
        <v>0</v>
      </c>
      <c r="P21" s="91">
        <f t="shared" si="5"/>
        <v>10</v>
      </c>
      <c r="Q21" s="92" t="str">
        <f>IFERROR(IF(INDEX('📝 Roster'!$N:$N,MATCH($A21,'📝 Roster'!$B:$B,0))=0,"",INDEX('📝 Roster'!$N:$N,MATCH($A21,'📝 Roster'!$B:$B,0))),"")</f>
        <v/>
      </c>
    </row>
    <row r="22" spans="1:17" ht="15" customHeight="1">
      <c r="A22" s="85" t="s">
        <v>168</v>
      </c>
      <c r="B22" s="85" t="str">
        <f>IF($A22="","",IF(COUNTIF('📝 Roster'!$B:$B,$A22)=0,"Open",IF(IFERROR(INDEX('📝 Roster'!$C:$C,MATCH($A22,'📝 Roster'!$B:$B,0)),"")="","Open",INDEX('📝 Roster'!$C:$C,MATCH($A22,'📝 Roster'!$B:$B,0)))))</f>
        <v>Occupied</v>
      </c>
      <c r="C22" s="86" t="str">
        <f>IF($B22="Open","",IFERROR(INDEX('📝 Roster'!$A:$A,MATCH($A22,'📝 Roster'!$B:$B,0)),""))</f>
        <v>Bradey Bauer</v>
      </c>
      <c r="D22" s="87">
        <f>IF($B22="Open","",IFERROR(INDEX('📝 Roster'!$D:$D,MATCH($A22,'📝 Roster'!$B:$B,0)),""))</f>
        <v>46186</v>
      </c>
      <c r="E22" s="85" t="str">
        <f>IF($B22="Open","",IFERROR(INDEX('📝 Roster'!$E:$E,MATCH($A22,'📝 Roster'!$B:$B,0)),""))</f>
        <v>DTX/RTC</v>
      </c>
      <c r="F22" s="85">
        <f>IF($B22="Open","",IFERROR(INDEX('📝 Roster'!$F:$F,MATCH($A22,'📝 Roster'!$B:$B,0)),""))</f>
        <v>0</v>
      </c>
      <c r="G22" s="88">
        <f>IF($B22="Open","",IFERROR(INDEX('📝 Roster'!$G:$G,MATCH($A22,'📝 Roster'!$B:$B,0)),""))</f>
        <v>30</v>
      </c>
      <c r="H22" s="87">
        <f t="shared" si="3"/>
        <v>46216</v>
      </c>
      <c r="I22" s="85">
        <f t="shared" ca="1" si="4"/>
        <v>26</v>
      </c>
      <c r="J22" s="89" t="str">
        <f>IF($B22="Open","",IFERROR(INDEX('📝 Roster'!$H:$H,MATCH($A22,'📝 Roster'!$B:$B,0)),""))</f>
        <v>Anthem BC</v>
      </c>
      <c r="K22" s="89" t="str">
        <f>IF($B22="Open","",IFERROR(INDEX('📝 Roster'!$I:$I,MATCH($A22,'📝 Roster'!$B:$B,0)),""))</f>
        <v>Readmit/Rise</v>
      </c>
      <c r="L22" s="85" t="str">
        <f>IF($B22="Open","",IFERROR(INDEX('📝 Roster'!$K:$K,MATCH($A22,'📝 Roster'!$B:$B,0)),""))</f>
        <v>y</v>
      </c>
      <c r="M22" s="85" t="str">
        <f>IF($B22="Open","",IFERROR(INDEX('📝 Roster'!$J:$J,MATCH($A22,'📝 Roster'!$B:$B,0)),""))</f>
        <v>Matthew</v>
      </c>
      <c r="N22" s="90">
        <f>IF($B22="Open","",IFERROR(INDEX('📝 Roster'!$L:$L,MATCH($A22,'📝 Roster'!$B:$B,0)),""))</f>
        <v>0</v>
      </c>
      <c r="O22" s="90">
        <f>IF($B22="Open","",IFERROR(INDEX('📝 Roster'!$M:$M,MATCH($A22,'📝 Roster'!$B:$B,0)),""))</f>
        <v>0</v>
      </c>
      <c r="P22" s="91">
        <f t="shared" si="5"/>
        <v>11</v>
      </c>
      <c r="Q22" s="92" t="str">
        <f>IFERROR(IF(INDEX('📝 Roster'!$N:$N,MATCH($A22,'📝 Roster'!$B:$B,0))=0,"",INDEX('📝 Roster'!$N:$N,MATCH($A22,'📝 Roster'!$B:$B,0))),"")</f>
        <v/>
      </c>
    </row>
    <row r="23" spans="1:17" ht="15" customHeight="1">
      <c r="A23" s="85" t="s">
        <v>171</v>
      </c>
      <c r="B23" s="85" t="str">
        <f>IF($A23="","",IF(COUNTIF('📝 Roster'!$B:$B,$A23)=0,"Open",IF(IFERROR(INDEX('📝 Roster'!$C:$C,MATCH($A23,'📝 Roster'!$B:$B,0)),"")="","Open",INDEX('📝 Roster'!$C:$C,MATCH($A23,'📝 Roster'!$B:$B,0)))))</f>
        <v>Occupied</v>
      </c>
      <c r="C23" s="86" t="str">
        <f>IF($B23="Open","",IFERROR(INDEX('📝 Roster'!$A:$A,MATCH($A23,'📝 Roster'!$B:$B,0)),""))</f>
        <v>Jeongwoon Lee</v>
      </c>
      <c r="D23" s="87">
        <f>IF($B23="Open","",IFERROR(INDEX('📝 Roster'!$D:$D,MATCH($A23,'📝 Roster'!$B:$B,0)),""))</f>
        <v>46167</v>
      </c>
      <c r="E23" s="85" t="str">
        <f>IF($B23="Open","",IFERROR(INDEX('📝 Roster'!$E:$E,MATCH($A23,'📝 Roster'!$B:$B,0)),""))</f>
        <v>RTC</v>
      </c>
      <c r="F23" s="85" t="str">
        <f>IF($B23="Open","",IFERROR(INDEX('📝 Roster'!$F:$F,MATCH($A23,'📝 Roster'!$B:$B,0)),""))</f>
        <v>RTC</v>
      </c>
      <c r="G23" s="88">
        <f>IF($B23="Open","",IFERROR(INDEX('📝 Roster'!$G:$G,MATCH($A23,'📝 Roster'!$B:$B,0)),""))</f>
        <v>30</v>
      </c>
      <c r="H23" s="87">
        <f t="shared" si="3"/>
        <v>46199</v>
      </c>
      <c r="I23" s="85">
        <f t="shared" ca="1" si="4"/>
        <v>9</v>
      </c>
      <c r="J23" s="89" t="str">
        <f>IF($B23="Open","",IFERROR(INDEX('📝 Roster'!$H:$H,MATCH($A23,'📝 Roster'!$B:$B,0)),""))</f>
        <v>Aetna</v>
      </c>
      <c r="K23" s="89" t="str">
        <f>IF($B23="Open","",IFERROR(INDEX('📝 Roster'!$I:$I,MATCH($A23,'📝 Roster'!$B:$B,0)),""))</f>
        <v>Web</v>
      </c>
      <c r="L23" s="85" t="str">
        <f>IF($B23="Open","",IFERROR(INDEX('📝 Roster'!$K:$K,MATCH($A23,'📝 Roster'!$B:$B,0)),""))</f>
        <v>Y</v>
      </c>
      <c r="M23" s="85" t="str">
        <f>IF($B23="Open","",IFERROR(INDEX('📝 Roster'!$J:$J,MATCH($A23,'📝 Roster'!$B:$B,0)),""))</f>
        <v>Nelson</v>
      </c>
      <c r="N23" s="90">
        <f>IF($B23="Open","",IFERROR(INDEX('📝 Roster'!$L:$L,MATCH($A23,'📝 Roster'!$B:$B,0)),""))</f>
        <v>0</v>
      </c>
      <c r="O23" s="90">
        <f>IF($B23="Open","",IFERROR(INDEX('📝 Roster'!$M:$M,MATCH($A23,'📝 Roster'!$B:$B,0)),""))</f>
        <v>0</v>
      </c>
      <c r="P23" s="91">
        <f t="shared" si="5"/>
        <v>12</v>
      </c>
      <c r="Q23" s="92">
        <f>IFERROR(IF(INDEX('📝 Roster'!$N:$N,MATCH($A23,'📝 Roster'!$B:$B,0))=0,"",INDEX('📝 Roster'!$N:$N,MATCH($A23,'📝 Roster'!$B:$B,0))),"")</f>
        <v>46199</v>
      </c>
    </row>
    <row r="24" spans="1:17" ht="15" customHeight="1">
      <c r="A24" s="70"/>
      <c r="B24" s="70"/>
      <c r="C24" s="70"/>
      <c r="D24" s="70"/>
      <c r="E24" s="70"/>
      <c r="F24" s="70"/>
      <c r="G24" s="70"/>
      <c r="H24" s="70"/>
      <c r="I24" s="70"/>
      <c r="J24" s="70"/>
      <c r="K24" s="70"/>
      <c r="L24" s="70"/>
      <c r="M24" s="70"/>
    </row>
    <row r="25" spans="1:17" ht="15" customHeight="1">
      <c r="A25" s="70"/>
      <c r="B25" s="70"/>
      <c r="C25" s="70"/>
      <c r="D25" s="70"/>
      <c r="E25" s="70"/>
      <c r="F25" s="70"/>
      <c r="G25" s="70"/>
      <c r="H25" s="70"/>
      <c r="I25" s="70"/>
      <c r="J25" s="70"/>
      <c r="K25" s="70"/>
      <c r="L25" s="70"/>
      <c r="M25" s="70"/>
    </row>
    <row r="26" spans="1:17" ht="15" customHeight="1">
      <c r="A26" s="337" t="s">
        <v>186</v>
      </c>
      <c r="B26" s="337"/>
      <c r="C26" s="337"/>
      <c r="D26" s="337"/>
      <c r="E26" s="337"/>
      <c r="F26" s="337"/>
      <c r="G26" s="70"/>
      <c r="H26" s="70"/>
      <c r="I26" s="70"/>
      <c r="J26" s="70"/>
      <c r="K26" s="70"/>
      <c r="L26" s="70"/>
      <c r="M26" s="70"/>
    </row>
    <row r="27" spans="1:17" ht="15" customHeight="1">
      <c r="A27" s="338" t="s">
        <v>192</v>
      </c>
      <c r="B27" s="338"/>
      <c r="C27" s="338"/>
      <c r="D27" s="338"/>
      <c r="E27" s="338"/>
      <c r="F27" s="338"/>
      <c r="G27" s="70"/>
      <c r="H27" s="70"/>
      <c r="I27" s="70"/>
      <c r="J27" s="70"/>
      <c r="K27" s="70"/>
      <c r="L27" s="70"/>
      <c r="M27" s="70"/>
    </row>
    <row r="28" spans="1:17" ht="15" customHeight="1">
      <c r="A28" s="93" t="s">
        <v>188</v>
      </c>
      <c r="B28" s="93" t="s">
        <v>85</v>
      </c>
      <c r="C28" s="93" t="s">
        <v>18</v>
      </c>
      <c r="D28" s="93" t="s">
        <v>189</v>
      </c>
      <c r="E28" s="93" t="s">
        <v>190</v>
      </c>
      <c r="F28" s="93" t="s">
        <v>23</v>
      </c>
    </row>
    <row r="29" spans="1:17" ht="15" customHeight="1">
      <c r="A29" s="94" t="str">
        <f>IFERROR(INDEX('🔥 Pipeline'!$C:$C,MATCH(1,'⚙ Pipeline Engine'!$AD:$AD,0)),"")</f>
        <v>Tara Shinde</v>
      </c>
      <c r="B29" s="94" t="str">
        <f>IFERROR(INDEX('🔥 Pipeline'!$B:$B,MATCH(1,'⚙ Pipeline Engine'!$AD:$AD,0)),"")</f>
        <v>Amy</v>
      </c>
      <c r="C29" s="94" t="str">
        <f>IFERROR(INDEX('🔥 Pipeline'!$E:$E,MATCH(1,'⚙ Pipeline Engine'!$AD:$AD,0)),"")</f>
        <v>DTX/RTC</v>
      </c>
      <c r="D29" s="94" t="str">
        <f>IFERROR(INDEX('🔥 Pipeline'!$I:$I,MATCH(1,'⚙ Pipeline Engine'!$AD:$AD,0)),"")</f>
        <v>BCBS IL</v>
      </c>
      <c r="E29" s="95">
        <f>IFERROR(INDEX('🔥 Pipeline'!$H:$H,MATCH(1,'⚙ Pipeline Engine'!$AD:$AD,0)),"")</f>
        <v>46192</v>
      </c>
      <c r="F29" s="94" t="str">
        <f>IFERROR(INDEX('🔥 Pipeline'!$G:$G,MATCH(1,'⚙ Pipeline Engine'!$AD:$AD,0)),"")</f>
        <v>✓</v>
      </c>
    </row>
    <row r="30" spans="1:17" ht="15" customHeight="1">
      <c r="A30" s="94" t="str">
        <f>IFERROR(INDEX('🔥 Pipeline'!$C:$C,MATCH(2,'⚙ Pipeline Engine'!$AD:$AD,0)),"")</f>
        <v/>
      </c>
      <c r="B30" s="94" t="str">
        <f>IFERROR(INDEX('🔥 Pipeline'!$B:$B,MATCH(2,'⚙ Pipeline Engine'!$AD:$AD,0)),"")</f>
        <v/>
      </c>
      <c r="C30" s="94" t="str">
        <f>IFERROR(INDEX('🔥 Pipeline'!$E:$E,MATCH(2,'⚙ Pipeline Engine'!$AD:$AD,0)),"")</f>
        <v/>
      </c>
      <c r="D30" s="94" t="str">
        <f>IFERROR(INDEX('🔥 Pipeline'!$I:$I,MATCH(2,'⚙ Pipeline Engine'!$AD:$AD,0)),"")</f>
        <v/>
      </c>
      <c r="E30" s="94" t="str">
        <f>IFERROR(INDEX('🔥 Pipeline'!$H:$H,MATCH(2,'⚙ Pipeline Engine'!$AD:$AD,0)),"")</f>
        <v/>
      </c>
      <c r="F30" s="94" t="str">
        <f>IFERROR(INDEX('🔥 Pipeline'!$G:$G,MATCH(2,'⚙ Pipeline Engine'!$AD:$AD,0)),"")</f>
        <v/>
      </c>
    </row>
    <row r="31" spans="1:17" ht="15" customHeight="1">
      <c r="A31" s="94" t="str">
        <f>IFERROR(INDEX('🔥 Pipeline'!$C:$C,MATCH(3,'⚙ Pipeline Engine'!$AD:$AD,0)),"")</f>
        <v/>
      </c>
      <c r="B31" s="94" t="str">
        <f>IFERROR(INDEX('🔥 Pipeline'!$B:$B,MATCH(3,'⚙ Pipeline Engine'!$AD:$AD,0)),"")</f>
        <v/>
      </c>
      <c r="C31" s="94" t="str">
        <f>IFERROR(INDEX('🔥 Pipeline'!$E:$E,MATCH(3,'⚙ Pipeline Engine'!$AD:$AD,0)),"")</f>
        <v/>
      </c>
      <c r="D31" s="94" t="str">
        <f>IFERROR(INDEX('🔥 Pipeline'!$I:$I,MATCH(3,'⚙ Pipeline Engine'!$AD:$AD,0)),"")</f>
        <v/>
      </c>
      <c r="E31" s="94" t="str">
        <f>IFERROR(INDEX('🔥 Pipeline'!$H:$H,MATCH(3,'⚙ Pipeline Engine'!$AD:$AD,0)),"")</f>
        <v/>
      </c>
      <c r="F31" s="94" t="str">
        <f>IFERROR(INDEX('🔥 Pipeline'!$G:$G,MATCH(3,'⚙ Pipeline Engine'!$AD:$AD,0)),"")</f>
        <v/>
      </c>
    </row>
    <row r="32" spans="1:17" ht="15" customHeight="1">
      <c r="A32" s="94" t="str">
        <f>IFERROR(INDEX('🔥 Pipeline'!$C:$C,MATCH(4,'⚙ Pipeline Engine'!$AD:$AD,0)),"")</f>
        <v/>
      </c>
      <c r="B32" s="94" t="str">
        <f>IFERROR(INDEX('🔥 Pipeline'!$B:$B,MATCH(4,'⚙ Pipeline Engine'!$AD:$AD,0)),"")</f>
        <v/>
      </c>
      <c r="C32" s="94" t="str">
        <f>IFERROR(INDEX('🔥 Pipeline'!$E:$E,MATCH(4,'⚙ Pipeline Engine'!$AD:$AD,0)),"")</f>
        <v/>
      </c>
      <c r="D32" s="94" t="str">
        <f>IFERROR(INDEX('🔥 Pipeline'!$I:$I,MATCH(4,'⚙ Pipeline Engine'!$AD:$AD,0)),"")</f>
        <v/>
      </c>
      <c r="E32" s="94" t="str">
        <f>IFERROR(INDEX('🔥 Pipeline'!$H:$H,MATCH(4,'⚙ Pipeline Engine'!$AD:$AD,0)),"")</f>
        <v/>
      </c>
      <c r="F32" s="94" t="str">
        <f>IFERROR(INDEX('🔥 Pipeline'!$G:$G,MATCH(4,'⚙ Pipeline Engine'!$AD:$AD,0)),"")</f>
        <v/>
      </c>
    </row>
    <row r="33" spans="1:6" ht="15" customHeight="1">
      <c r="A33" s="94" t="str">
        <f>IFERROR(INDEX('🔥 Pipeline'!$C:$C,MATCH(5,'⚙ Pipeline Engine'!$AD:$AD,0)),"")</f>
        <v/>
      </c>
      <c r="B33" s="94" t="str">
        <f>IFERROR(INDEX('🔥 Pipeline'!$B:$B,MATCH(5,'⚙ Pipeline Engine'!$AD:$AD,0)),"")</f>
        <v/>
      </c>
      <c r="C33" s="94" t="str">
        <f>IFERROR(INDEX('🔥 Pipeline'!$E:$E,MATCH(5,'⚙ Pipeline Engine'!$AD:$AD,0)),"")</f>
        <v/>
      </c>
      <c r="D33" s="94" t="str">
        <f>IFERROR(INDEX('🔥 Pipeline'!$I:$I,MATCH(5,'⚙ Pipeline Engine'!$AD:$AD,0)),"")</f>
        <v/>
      </c>
      <c r="E33" s="94" t="str">
        <f>IFERROR(INDEX('🔥 Pipeline'!$H:$H,MATCH(5,'⚙ Pipeline Engine'!$AD:$AD,0)),"")</f>
        <v/>
      </c>
      <c r="F33" s="94" t="str">
        <f>IFERROR(INDEX('🔥 Pipeline'!$G:$G,MATCH(5,'⚙ Pipeline Engine'!$AD:$AD,0)),"")</f>
        <v/>
      </c>
    </row>
    <row r="34" spans="1:6" ht="15" customHeight="1">
      <c r="A34" s="94" t="str">
        <f>IFERROR(INDEX('🔥 Pipeline'!$C:$C,MATCH(6,'⚙ Pipeline Engine'!$AD:$AD,0)),"")</f>
        <v/>
      </c>
      <c r="B34" s="94" t="str">
        <f>IFERROR(INDEX('🔥 Pipeline'!$B:$B,MATCH(6,'⚙ Pipeline Engine'!$AD:$AD,0)),"")</f>
        <v/>
      </c>
      <c r="C34" s="94" t="str">
        <f>IFERROR(INDEX('🔥 Pipeline'!$E:$E,MATCH(6,'⚙ Pipeline Engine'!$AD:$AD,0)),"")</f>
        <v/>
      </c>
      <c r="D34" s="94" t="str">
        <f>IFERROR(INDEX('🔥 Pipeline'!$I:$I,MATCH(6,'⚙ Pipeline Engine'!$AD:$AD,0)),"")</f>
        <v/>
      </c>
      <c r="E34" s="94" t="str">
        <f>IFERROR(INDEX('🔥 Pipeline'!$H:$H,MATCH(6,'⚙ Pipeline Engine'!$AD:$AD,0)),"")</f>
        <v/>
      </c>
      <c r="F34" s="94" t="str">
        <f>IFERROR(INDEX('🔥 Pipeline'!$G:$G,MATCH(6,'⚙ Pipeline Engine'!$AD:$AD,0)),"")</f>
        <v/>
      </c>
    </row>
    <row r="35" spans="1:6" ht="15" hidden="1" customHeight="1"/>
    <row r="36" spans="1:6" ht="15" hidden="1" customHeight="1"/>
    <row r="37" spans="1:6" ht="15" hidden="1" customHeight="1"/>
    <row r="38" spans="1:6" ht="15" hidden="1" customHeight="1"/>
    <row r="39" spans="1:6" ht="15" hidden="1" customHeight="1"/>
    <row r="40" spans="1:6" ht="15" hidden="1" customHeight="1"/>
    <row r="41" spans="1:6" ht="15" hidden="1" customHeight="1"/>
  </sheetData>
  <sheetProtection sheet="1" sort="0" autoFilter="0"/>
  <autoFilter ref="A9:O21" xr:uid="{00000000-0009-0000-0000-000004000000}"/>
  <mergeCells count="10">
    <mergeCell ref="A1:Q1"/>
    <mergeCell ref="A3:Q3"/>
    <mergeCell ref="A4:Q4"/>
    <mergeCell ref="A5:Q5"/>
    <mergeCell ref="A7:Q7"/>
    <mergeCell ref="A8:Q8"/>
    <mergeCell ref="A10:F10"/>
    <mergeCell ref="A17:F17"/>
    <mergeCell ref="A26:F26"/>
    <mergeCell ref="A27:F27"/>
  </mergeCells>
  <conditionalFormatting sqref="A10:A23">
    <cfRule type="expression" dxfId="43" priority="2">
      <formula>AND($A10&lt;&gt;"",COUNTIF($A$10:$A$23,$A10)&gt;1)</formula>
    </cfRule>
  </conditionalFormatting>
  <conditionalFormatting sqref="A10:O23">
    <cfRule type="expression" dxfId="42" priority="5">
      <formula>$B10="Open"</formula>
    </cfRule>
    <cfRule type="expression" dxfId="41" priority="6">
      <formula>$B10="Reserved"</formula>
    </cfRule>
  </conditionalFormatting>
  <conditionalFormatting sqref="B10:B23">
    <cfRule type="cellIs" dxfId="40" priority="7" operator="equal">
      <formula>"Occupied"</formula>
    </cfRule>
    <cfRule type="cellIs" dxfId="39" priority="8" operator="equal">
      <formula>"Open"</formula>
    </cfRule>
    <cfRule type="cellIs" dxfId="38" priority="9" operator="equal">
      <formula>"Reserved"</formula>
    </cfRule>
  </conditionalFormatting>
  <conditionalFormatting sqref="C10:C23">
    <cfRule type="expression" dxfId="37" priority="3">
      <formula>AND($C10&lt;&gt;"",COUNTIF(DO_NOT_READMIT,$C10)&gt;0)</formula>
    </cfRule>
  </conditionalFormatting>
  <conditionalFormatting sqref="J10:J23">
    <cfRule type="expression" dxfId="36" priority="4">
      <formula>COUNTIF(NON_CONTRACTED,$J10)&gt;0</formula>
    </cfRule>
  </conditionalFormatting>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8860B"/>
    <pageSetUpPr fitToPage="1"/>
  </sheetPr>
  <dimension ref="A1:V45"/>
  <sheetViews>
    <sheetView showGridLines="0" zoomScale="140" zoomScaleNormal="140" workbookViewId="0">
      <pane ySplit="4" topLeftCell="A5" activePane="bottomLeft" state="frozen"/>
      <selection pane="bottomLeft" activeCell="N6" sqref="N6"/>
    </sheetView>
  </sheetViews>
  <sheetFormatPr defaultColWidth="0" defaultRowHeight="15" zeroHeight="1"/>
  <cols>
    <col min="1" max="1" width="5" customWidth="1"/>
    <col min="2" max="2" width="10" customWidth="1"/>
    <col min="3" max="3" width="21" customWidth="1"/>
    <col min="4" max="4" width="12" customWidth="1"/>
    <col min="5" max="6" width="9" customWidth="1"/>
    <col min="7" max="7" width="8.85546875" customWidth="1"/>
    <col min="8" max="8" width="12" customWidth="1"/>
    <col min="9" max="9" width="14" customWidth="1"/>
    <col min="10" max="10" width="46" customWidth="1"/>
    <col min="11" max="11" width="23" customWidth="1"/>
    <col min="12" max="12" width="18" customWidth="1"/>
    <col min="13" max="13" width="16" customWidth="1"/>
    <col min="14" max="14" width="19" customWidth="1"/>
    <col min="15" max="15" width="10" customWidth="1"/>
    <col min="16" max="17" width="14" customWidth="1"/>
    <col min="18" max="18" width="11" customWidth="1"/>
    <col min="19" max="19" width="12" customWidth="1"/>
    <col min="20" max="20" width="3" hidden="1" customWidth="1"/>
    <col min="21" max="21" width="37" customWidth="1"/>
    <col min="22" max="22" width="9" customWidth="1"/>
    <col min="23" max="16384" width="13" hidden="1"/>
  </cols>
  <sheetData>
    <row r="1" spans="1:22" ht="27.75" customHeight="1">
      <c r="A1" s="304" t="s">
        <v>193</v>
      </c>
      <c r="B1" s="304"/>
      <c r="C1" s="304"/>
      <c r="D1" s="304"/>
      <c r="E1" s="304"/>
      <c r="F1" s="304"/>
      <c r="G1" s="304"/>
      <c r="H1" s="304"/>
      <c r="I1" s="304"/>
      <c r="J1" s="304"/>
      <c r="K1" s="304"/>
      <c r="L1" s="304"/>
      <c r="M1" s="304"/>
      <c r="N1" s="304"/>
      <c r="O1" s="304"/>
      <c r="P1" s="304"/>
      <c r="Q1" s="304"/>
      <c r="R1" s="304"/>
      <c r="S1" s="304"/>
    </row>
    <row r="2" spans="1:22" ht="15.75" customHeight="1">
      <c r="A2" s="293" t="str">
        <f>"SCHEDULED: "&amp;COUNTIF(D5:D100,"Scheduled")&amp;"   PROSPECT: "&amp;COUNTIF(D5:D100,"Prospect")&amp;"   LEAD: "&amp;COUNTIF(D5:D100,"Lead")&amp;"   HOLD: "&amp;COUNTIF(D5:D100,"Hold")&amp;"   TOTAL: "&amp;(COUNTIF(D5:D100,"Scheduled")+COUNTIF(D5:D100,"Prospect")+COUNTIF(D5:D100,"Lead")+COUNTIF(D5:D100,"Hold"))</f>
        <v>SCHEDULED: 1   PROSPECT: 6   LEAD: 5   HOLD: 0   TOTAL: 12</v>
      </c>
      <c r="B2" s="293"/>
      <c r="C2" s="293"/>
      <c r="D2" s="293"/>
      <c r="E2" s="293"/>
      <c r="F2" s="293"/>
      <c r="G2" s="293"/>
      <c r="H2" s="293"/>
      <c r="I2" s="293"/>
      <c r="J2" s="293"/>
      <c r="K2" s="293"/>
      <c r="L2" s="293"/>
      <c r="M2" s="293"/>
      <c r="N2" s="293"/>
      <c r="O2" s="293"/>
      <c r="P2" s="293"/>
      <c r="Q2" s="293"/>
      <c r="R2" s="293"/>
      <c r="S2" s="293"/>
    </row>
    <row r="3" spans="1:22" ht="19.5" customHeight="1">
      <c r="A3" s="305" t="s">
        <v>194</v>
      </c>
      <c r="B3" s="305"/>
      <c r="C3" s="339"/>
      <c r="D3" s="339"/>
      <c r="E3" s="339"/>
      <c r="F3" s="339"/>
      <c r="G3" s="339"/>
      <c r="H3" s="339"/>
      <c r="U3" s="70"/>
      <c r="V3" s="70"/>
    </row>
    <row r="4" spans="1:22" ht="31.5" customHeight="1">
      <c r="A4" s="83" t="s">
        <v>71</v>
      </c>
      <c r="B4" s="83" t="s">
        <v>85</v>
      </c>
      <c r="C4" s="83" t="s">
        <v>76</v>
      </c>
      <c r="D4" s="83" t="s">
        <v>195</v>
      </c>
      <c r="E4" s="83" t="s">
        <v>18</v>
      </c>
      <c r="F4" s="83" t="s">
        <v>196</v>
      </c>
      <c r="G4" s="83" t="s">
        <v>23</v>
      </c>
      <c r="H4" s="83" t="s">
        <v>190</v>
      </c>
      <c r="I4" s="83" t="s">
        <v>189</v>
      </c>
      <c r="J4" s="83" t="s">
        <v>197</v>
      </c>
      <c r="K4" s="83" t="s">
        <v>198</v>
      </c>
      <c r="L4" s="83" t="s">
        <v>199</v>
      </c>
      <c r="M4" s="83" t="s">
        <v>200</v>
      </c>
      <c r="N4" s="83" t="s">
        <v>201</v>
      </c>
      <c r="O4" s="83" t="s">
        <v>202</v>
      </c>
      <c r="P4" s="83" t="s">
        <v>203</v>
      </c>
      <c r="Q4" s="83" t="s">
        <v>204</v>
      </c>
      <c r="R4" s="83" t="s">
        <v>205</v>
      </c>
      <c r="S4" s="83" t="s">
        <v>206</v>
      </c>
      <c r="U4" s="96" t="s">
        <v>207</v>
      </c>
      <c r="V4" s="70"/>
    </row>
    <row r="5" spans="1:22" ht="45" customHeight="1">
      <c r="A5" s="97">
        <v>1</v>
      </c>
      <c r="B5" s="97" t="s">
        <v>101</v>
      </c>
      <c r="C5" s="98" t="s">
        <v>208</v>
      </c>
      <c r="D5" s="97" t="s">
        <v>48</v>
      </c>
      <c r="E5" s="97" t="s">
        <v>98</v>
      </c>
      <c r="F5" s="97" t="s">
        <v>209</v>
      </c>
      <c r="G5" s="97" t="s">
        <v>210</v>
      </c>
      <c r="H5" s="99" t="s">
        <v>211</v>
      </c>
      <c r="I5" s="97" t="s">
        <v>123</v>
      </c>
      <c r="J5" s="100" t="s">
        <v>212</v>
      </c>
      <c r="K5" s="97" t="s">
        <v>149</v>
      </c>
      <c r="L5" s="100" t="s">
        <v>213</v>
      </c>
      <c r="M5" s="100" t="s">
        <v>214</v>
      </c>
      <c r="N5" s="97" t="s">
        <v>215</v>
      </c>
      <c r="O5" s="97"/>
      <c r="P5" s="97"/>
      <c r="Q5" s="97" t="s">
        <v>216</v>
      </c>
      <c r="R5" s="97"/>
      <c r="S5" s="99">
        <v>45586</v>
      </c>
      <c r="T5" t="str">
        <f>IF($C5&lt;&gt;"",$B5&amp;"#"&amp;COUNTIF($B$5:$B5,$B5),"")</f>
        <v>Amy#1</v>
      </c>
      <c r="U5" s="101" t="s">
        <v>217</v>
      </c>
      <c r="V5" s="102"/>
    </row>
    <row r="6" spans="1:22" ht="42" customHeight="1">
      <c r="A6" s="103">
        <v>2</v>
      </c>
      <c r="B6" s="103" t="s">
        <v>101</v>
      </c>
      <c r="C6" s="104" t="s">
        <v>218</v>
      </c>
      <c r="D6" s="103" t="s">
        <v>48</v>
      </c>
      <c r="E6" s="103" t="s">
        <v>111</v>
      </c>
      <c r="F6" s="103" t="s">
        <v>219</v>
      </c>
      <c r="G6" s="103" t="s">
        <v>210</v>
      </c>
      <c r="H6" s="105" t="s">
        <v>211</v>
      </c>
      <c r="I6" s="103" t="s">
        <v>220</v>
      </c>
      <c r="J6" s="106" t="s">
        <v>221</v>
      </c>
      <c r="K6" s="103" t="s">
        <v>222</v>
      </c>
      <c r="L6" s="106" t="s">
        <v>142</v>
      </c>
      <c r="M6" s="106" t="s">
        <v>223</v>
      </c>
      <c r="N6" s="103" t="s">
        <v>47</v>
      </c>
      <c r="O6" s="103"/>
      <c r="P6" s="103"/>
      <c r="Q6" s="103"/>
      <c r="R6" s="103"/>
      <c r="S6" s="105">
        <v>46188</v>
      </c>
      <c r="T6" t="str">
        <f>IF($C6&lt;&gt;"",$B6&amp;"#"&amp;COUNTIF($B$5:$B6,$B6),"")</f>
        <v>Amy#2</v>
      </c>
      <c r="U6" s="70" t="s">
        <v>47</v>
      </c>
      <c r="V6" s="70">
        <f>COUNTIF($D$5:$D$100,"Scheduled")</f>
        <v>1</v>
      </c>
    </row>
    <row r="7" spans="1:22" ht="38.25" customHeight="1">
      <c r="A7" s="97">
        <v>3</v>
      </c>
      <c r="B7" s="97" t="s">
        <v>101</v>
      </c>
      <c r="C7" s="98" t="s">
        <v>159</v>
      </c>
      <c r="D7" s="97" t="s">
        <v>47</v>
      </c>
      <c r="E7" s="97" t="s">
        <v>98</v>
      </c>
      <c r="F7" s="97" t="s">
        <v>219</v>
      </c>
      <c r="G7" s="97" t="s">
        <v>210</v>
      </c>
      <c r="H7" s="99">
        <v>46192</v>
      </c>
      <c r="I7" s="97" t="s">
        <v>161</v>
      </c>
      <c r="J7" s="100" t="s">
        <v>224</v>
      </c>
      <c r="K7" s="97" t="s">
        <v>149</v>
      </c>
      <c r="L7" s="100" t="s">
        <v>225</v>
      </c>
      <c r="M7" s="100" t="s">
        <v>226</v>
      </c>
      <c r="N7" s="97" t="s">
        <v>227</v>
      </c>
      <c r="O7" s="97"/>
      <c r="P7" s="97"/>
      <c r="Q7" s="97" t="s">
        <v>216</v>
      </c>
      <c r="R7" s="97"/>
      <c r="S7" s="99">
        <v>46178</v>
      </c>
      <c r="T7" t="str">
        <f>IF($C7&lt;&gt;"",$B7&amp;"#"&amp;COUNTIF($B$5:$B7,$B7),"")</f>
        <v>Amy#3</v>
      </c>
      <c r="U7" s="107" t="s">
        <v>48</v>
      </c>
      <c r="V7" s="108">
        <f>COUNTIF($D$5:$D$100,"Prospect")</f>
        <v>6</v>
      </c>
    </row>
    <row r="8" spans="1:22" ht="64.5" customHeight="1">
      <c r="A8" s="103">
        <v>4</v>
      </c>
      <c r="B8" s="103" t="s">
        <v>101</v>
      </c>
      <c r="C8" s="104" t="s">
        <v>228</v>
      </c>
      <c r="D8" s="103" t="s">
        <v>49</v>
      </c>
      <c r="E8" s="103" t="s">
        <v>98</v>
      </c>
      <c r="F8" s="103" t="s">
        <v>209</v>
      </c>
      <c r="G8" s="103" t="s">
        <v>210</v>
      </c>
      <c r="H8" s="105" t="s">
        <v>211</v>
      </c>
      <c r="I8" s="103" t="s">
        <v>229</v>
      </c>
      <c r="J8" s="106" t="s">
        <v>230</v>
      </c>
      <c r="K8" s="103" t="s">
        <v>149</v>
      </c>
      <c r="L8" s="106" t="s">
        <v>231</v>
      </c>
      <c r="M8" s="106" t="s">
        <v>214</v>
      </c>
      <c r="N8" s="103" t="s">
        <v>215</v>
      </c>
      <c r="O8" s="103"/>
      <c r="P8" s="103"/>
      <c r="Q8" s="103"/>
      <c r="R8" s="103"/>
      <c r="S8" s="105"/>
      <c r="T8" t="str">
        <f>IF($C8&lt;&gt;"",$B8&amp;"#"&amp;COUNTIF($B$5:$B8,$B8),"")</f>
        <v>Amy#4</v>
      </c>
      <c r="U8" s="70" t="s">
        <v>49</v>
      </c>
      <c r="V8" s="70">
        <f>COUNTIF($D$5:$D$100,"Lead")</f>
        <v>5</v>
      </c>
    </row>
    <row r="9" spans="1:22" ht="59.25" customHeight="1">
      <c r="A9" s="97">
        <v>5</v>
      </c>
      <c r="B9" s="97" t="s">
        <v>101</v>
      </c>
      <c r="C9" s="98" t="s">
        <v>232</v>
      </c>
      <c r="D9" s="97" t="s">
        <v>49</v>
      </c>
      <c r="E9" s="97" t="s">
        <v>98</v>
      </c>
      <c r="F9" s="97" t="s">
        <v>219</v>
      </c>
      <c r="G9" s="97" t="s">
        <v>210</v>
      </c>
      <c r="H9" s="99" t="s">
        <v>211</v>
      </c>
      <c r="I9" s="97" t="s">
        <v>112</v>
      </c>
      <c r="J9" s="100" t="s">
        <v>233</v>
      </c>
      <c r="K9" s="97" t="s">
        <v>149</v>
      </c>
      <c r="L9" s="100" t="s">
        <v>213</v>
      </c>
      <c r="M9" s="100" t="s">
        <v>234</v>
      </c>
      <c r="N9" s="97" t="s">
        <v>215</v>
      </c>
      <c r="O9" s="97"/>
      <c r="P9" s="97"/>
      <c r="Q9" s="97"/>
      <c r="R9" s="97"/>
      <c r="S9" s="99"/>
      <c r="T9" t="str">
        <f>IF($C9&lt;&gt;"",$B9&amp;"#"&amp;COUNTIF($B$5:$B9,$B9),"")</f>
        <v>Amy#5</v>
      </c>
      <c r="U9" s="70" t="s">
        <v>50</v>
      </c>
      <c r="V9" s="70">
        <f>COUNTIF($D$5:$D$100,"Hold")</f>
        <v>0</v>
      </c>
    </row>
    <row r="10" spans="1:22" ht="46.5" customHeight="1">
      <c r="A10" s="103">
        <v>6</v>
      </c>
      <c r="B10" s="103" t="s">
        <v>129</v>
      </c>
      <c r="C10" s="104" t="s">
        <v>235</v>
      </c>
      <c r="D10" s="103" t="s">
        <v>49</v>
      </c>
      <c r="E10" s="103" t="s">
        <v>98</v>
      </c>
      <c r="F10" s="103" t="s">
        <v>209</v>
      </c>
      <c r="G10" s="103" t="s">
        <v>210</v>
      </c>
      <c r="H10" s="105" t="s">
        <v>211</v>
      </c>
      <c r="I10" s="103" t="s">
        <v>127</v>
      </c>
      <c r="J10" s="106" t="s">
        <v>236</v>
      </c>
      <c r="K10" s="103" t="s">
        <v>149</v>
      </c>
      <c r="L10" s="106" t="s">
        <v>149</v>
      </c>
      <c r="M10" s="106" t="s">
        <v>234</v>
      </c>
      <c r="N10" s="103" t="s">
        <v>215</v>
      </c>
      <c r="O10" s="103">
        <v>2</v>
      </c>
      <c r="P10" s="103"/>
      <c r="Q10" s="103" t="s">
        <v>216</v>
      </c>
      <c r="R10" s="103"/>
      <c r="S10" s="105">
        <v>46177</v>
      </c>
      <c r="T10" t="str">
        <f>IF($C10&lt;&gt;"",$B10&amp;"#"&amp;COUNTIF($B$5:$B10,$B10),"")</f>
        <v>Nelson#1</v>
      </c>
      <c r="U10" s="109" t="s">
        <v>237</v>
      </c>
      <c r="V10" s="110">
        <f>COUNTA($C$5:$C$100)</f>
        <v>12</v>
      </c>
    </row>
    <row r="11" spans="1:22" ht="44.25" customHeight="1">
      <c r="A11" s="97">
        <v>7</v>
      </c>
      <c r="B11" s="97" t="s">
        <v>129</v>
      </c>
      <c r="C11" s="98" t="s">
        <v>238</v>
      </c>
      <c r="D11" s="97" t="s">
        <v>48</v>
      </c>
      <c r="E11" s="97" t="s">
        <v>98</v>
      </c>
      <c r="F11" s="97" t="s">
        <v>211</v>
      </c>
      <c r="G11" s="97" t="s">
        <v>210</v>
      </c>
      <c r="H11" s="99" t="s">
        <v>211</v>
      </c>
      <c r="I11" s="97" t="s">
        <v>127</v>
      </c>
      <c r="J11" s="100" t="s">
        <v>239</v>
      </c>
      <c r="K11" s="97" t="s">
        <v>149</v>
      </c>
      <c r="L11" s="100" t="s">
        <v>149</v>
      </c>
      <c r="M11" s="100" t="s">
        <v>214</v>
      </c>
      <c r="N11" s="97" t="s">
        <v>215</v>
      </c>
      <c r="O11" s="97">
        <v>2</v>
      </c>
      <c r="P11" s="97"/>
      <c r="Q11" s="97" t="s">
        <v>216</v>
      </c>
      <c r="R11" s="97"/>
      <c r="S11" s="99">
        <v>46175</v>
      </c>
      <c r="T11" t="str">
        <f>IF($C11&lt;&gt;"",$B11&amp;"#"&amp;COUNTIF($B$5:$B11,$B11),"")</f>
        <v>Nelson#2</v>
      </c>
      <c r="U11" s="107"/>
      <c r="V11" s="108"/>
    </row>
    <row r="12" spans="1:22" ht="42" customHeight="1">
      <c r="A12" s="103">
        <v>8</v>
      </c>
      <c r="B12" s="103" t="s">
        <v>129</v>
      </c>
      <c r="C12" s="104" t="s">
        <v>240</v>
      </c>
      <c r="D12" s="103" t="s">
        <v>48</v>
      </c>
      <c r="E12" s="103" t="s">
        <v>98</v>
      </c>
      <c r="F12" s="103" t="s">
        <v>211</v>
      </c>
      <c r="G12" s="103" t="s">
        <v>210</v>
      </c>
      <c r="H12" s="105">
        <v>46191</v>
      </c>
      <c r="I12" s="103" t="s">
        <v>112</v>
      </c>
      <c r="J12" s="106" t="s">
        <v>241</v>
      </c>
      <c r="K12" s="103" t="s">
        <v>149</v>
      </c>
      <c r="L12" s="106"/>
      <c r="M12" s="106"/>
      <c r="N12" s="103" t="s">
        <v>47</v>
      </c>
      <c r="O12" s="103"/>
      <c r="P12" s="103"/>
      <c r="Q12" s="103" t="s">
        <v>216</v>
      </c>
      <c r="R12" s="103"/>
      <c r="S12" s="105">
        <v>46189</v>
      </c>
      <c r="T12" t="str">
        <f>IF($C12&lt;&gt;"",$B12&amp;"#"&amp;COUNTIF($B$5:$B12,$B12),"")</f>
        <v>Nelson#3</v>
      </c>
      <c r="U12" s="109" t="s">
        <v>242</v>
      </c>
      <c r="V12" s="108"/>
    </row>
    <row r="13" spans="1:22" ht="32.25" customHeight="1">
      <c r="A13" s="97">
        <v>9</v>
      </c>
      <c r="B13" s="97" t="s">
        <v>107</v>
      </c>
      <c r="C13" s="98" t="s">
        <v>243</v>
      </c>
      <c r="D13" s="97" t="s">
        <v>49</v>
      </c>
      <c r="E13" s="97" t="s">
        <v>98</v>
      </c>
      <c r="F13" s="97" t="s">
        <v>211</v>
      </c>
      <c r="G13" s="97" t="s">
        <v>210</v>
      </c>
      <c r="H13" s="99" t="s">
        <v>211</v>
      </c>
      <c r="I13" s="97" t="s">
        <v>112</v>
      </c>
      <c r="J13" s="100" t="s">
        <v>244</v>
      </c>
      <c r="K13" s="97" t="s">
        <v>149</v>
      </c>
      <c r="L13" s="100" t="s">
        <v>149</v>
      </c>
      <c r="M13" s="100" t="s">
        <v>245</v>
      </c>
      <c r="N13" s="97" t="s">
        <v>215</v>
      </c>
      <c r="O13" s="97">
        <v>2</v>
      </c>
      <c r="P13" s="97"/>
      <c r="Q13" s="97" t="s">
        <v>216</v>
      </c>
      <c r="R13" s="97"/>
      <c r="S13" s="99">
        <v>46187</v>
      </c>
      <c r="T13" t="str">
        <f>IF($C13&lt;&gt;"",$B13&amp;"#"&amp;COUNTIF($B$5:$B13,$B13),"")</f>
        <v>Matthew#1</v>
      </c>
      <c r="U13" s="107" t="s">
        <v>101</v>
      </c>
      <c r="V13" s="108">
        <f>COUNTIF($B$5:$B$100,"Amy")</f>
        <v>5</v>
      </c>
    </row>
    <row r="14" spans="1:22" ht="28.5" customHeight="1">
      <c r="A14" s="103">
        <v>10</v>
      </c>
      <c r="B14" s="103"/>
      <c r="C14" s="104"/>
      <c r="D14" s="103"/>
      <c r="E14" s="103"/>
      <c r="F14" s="103"/>
      <c r="G14" s="103"/>
      <c r="H14" s="105"/>
      <c r="I14" s="103"/>
      <c r="J14" s="106"/>
      <c r="K14" s="103"/>
      <c r="L14" s="106"/>
      <c r="M14" s="106"/>
      <c r="N14" s="103"/>
      <c r="O14" s="103"/>
      <c r="P14" s="103"/>
      <c r="Q14" s="103"/>
      <c r="R14" s="103"/>
      <c r="S14" s="105"/>
      <c r="T14" t="str">
        <f>IF($C14&lt;&gt;"",$B14&amp;"#"&amp;COUNTIF($B$5:$B14,$B14),"")</f>
        <v/>
      </c>
      <c r="U14" s="70" t="s">
        <v>129</v>
      </c>
      <c r="V14" s="70">
        <f>COUNTIF($B$5:$B$100,"Nelson")</f>
        <v>3</v>
      </c>
    </row>
    <row r="15" spans="1:22" ht="29.25" customHeight="1">
      <c r="A15" s="97">
        <v>11</v>
      </c>
      <c r="B15" s="97"/>
      <c r="C15" s="98"/>
      <c r="D15" s="97"/>
      <c r="E15" s="97"/>
      <c r="F15" s="97"/>
      <c r="G15" s="97"/>
      <c r="H15" s="99"/>
      <c r="I15" s="97"/>
      <c r="J15" s="100"/>
      <c r="K15" s="97"/>
      <c r="L15" s="100"/>
      <c r="M15" s="100"/>
      <c r="N15" s="97"/>
      <c r="O15" s="97"/>
      <c r="P15" s="97"/>
      <c r="Q15" s="97"/>
      <c r="R15" s="97"/>
      <c r="S15" s="99"/>
      <c r="T15" t="str">
        <f>IF($C15&lt;&gt;"",$B15&amp;"#"&amp;COUNTIF($B$5:$B15,$B15),"")</f>
        <v/>
      </c>
      <c r="U15" s="70" t="s">
        <v>107</v>
      </c>
      <c r="V15" s="70">
        <f>COUNTIF($B$5:$B$100,"Matthew")</f>
        <v>1</v>
      </c>
    </row>
    <row r="16" spans="1:22" ht="42" customHeight="1">
      <c r="A16" s="103">
        <v>12</v>
      </c>
      <c r="B16" s="103" t="s">
        <v>135</v>
      </c>
      <c r="C16" s="104" t="s">
        <v>246</v>
      </c>
      <c r="D16" s="103" t="s">
        <v>48</v>
      </c>
      <c r="E16" s="103" t="s">
        <v>98</v>
      </c>
      <c r="F16" s="103" t="s">
        <v>209</v>
      </c>
      <c r="G16" s="103" t="s">
        <v>210</v>
      </c>
      <c r="H16" s="105" t="s">
        <v>211</v>
      </c>
      <c r="I16" s="103" t="s">
        <v>127</v>
      </c>
      <c r="J16" s="106" t="s">
        <v>247</v>
      </c>
      <c r="K16" s="103" t="s">
        <v>248</v>
      </c>
      <c r="L16" s="106" t="s">
        <v>249</v>
      </c>
      <c r="M16" s="106" t="s">
        <v>250</v>
      </c>
      <c r="N16" s="103" t="s">
        <v>251</v>
      </c>
      <c r="O16" s="103">
        <v>2</v>
      </c>
      <c r="P16" s="103"/>
      <c r="Q16" s="103" t="s">
        <v>216</v>
      </c>
      <c r="R16" s="103"/>
      <c r="S16" s="105">
        <v>46103</v>
      </c>
      <c r="T16" t="str">
        <f>IF($C16&lt;&gt;"",$B16&amp;"#"&amp;COUNTIF($B$5:$B16,$B16),"")</f>
        <v>Ahbra#1</v>
      </c>
      <c r="U16" s="107" t="s">
        <v>252</v>
      </c>
      <c r="V16" s="108">
        <f>COUNTIF($B$5:$B$100,"Amos")</f>
        <v>0</v>
      </c>
    </row>
    <row r="17" spans="1:22" ht="25.5" customHeight="1">
      <c r="A17" s="97"/>
      <c r="B17" s="97" t="s">
        <v>135</v>
      </c>
      <c r="C17" s="98" t="s">
        <v>253</v>
      </c>
      <c r="D17" s="97" t="s">
        <v>48</v>
      </c>
      <c r="E17" s="97" t="s">
        <v>98</v>
      </c>
      <c r="F17" s="97" t="s">
        <v>209</v>
      </c>
      <c r="G17" s="97"/>
      <c r="H17" s="99" t="s">
        <v>211</v>
      </c>
      <c r="I17" s="97" t="s">
        <v>116</v>
      </c>
      <c r="J17" s="100" t="s">
        <v>254</v>
      </c>
      <c r="K17" s="97" t="s">
        <v>255</v>
      </c>
      <c r="L17" s="100" t="s">
        <v>256</v>
      </c>
      <c r="M17" s="100" t="s">
        <v>226</v>
      </c>
      <c r="N17" s="97" t="s">
        <v>215</v>
      </c>
      <c r="O17" s="97"/>
      <c r="P17" s="97"/>
      <c r="Q17" s="97" t="s">
        <v>257</v>
      </c>
      <c r="R17" s="97"/>
      <c r="S17" s="99">
        <v>46189</v>
      </c>
      <c r="T17" t="str">
        <f>IF($C17&lt;&gt;"",$B17&amp;"#"&amp;COUNTIF($B$5:$B17,$B17),"")</f>
        <v>Ahbra#2</v>
      </c>
      <c r="U17" s="107" t="s">
        <v>135</v>
      </c>
      <c r="V17" s="108">
        <f>COUNTIF($B$5:$B$100,"Ahbra")</f>
        <v>3</v>
      </c>
    </row>
    <row r="18" spans="1:22" ht="27.75" customHeight="1">
      <c r="A18" s="103"/>
      <c r="B18" s="103" t="s">
        <v>135</v>
      </c>
      <c r="C18" s="104" t="s">
        <v>258</v>
      </c>
      <c r="D18" s="103" t="s">
        <v>49</v>
      </c>
      <c r="E18" s="103" t="s">
        <v>98</v>
      </c>
      <c r="F18" s="103" t="s">
        <v>211</v>
      </c>
      <c r="G18" s="103"/>
      <c r="H18" s="105" t="s">
        <v>211</v>
      </c>
      <c r="I18" s="103" t="s">
        <v>259</v>
      </c>
      <c r="J18" s="106"/>
      <c r="K18" s="103" t="s">
        <v>248</v>
      </c>
      <c r="L18" s="106" t="s">
        <v>260</v>
      </c>
      <c r="M18" s="106"/>
      <c r="N18" s="103" t="s">
        <v>215</v>
      </c>
      <c r="O18" s="103"/>
      <c r="P18" s="103"/>
      <c r="Q18" s="103"/>
      <c r="R18" s="103"/>
      <c r="S18" s="105">
        <v>46189</v>
      </c>
      <c r="T18" t="str">
        <f>IF($C18&lt;&gt;"",$B18&amp;"#"&amp;COUNTIF($B$5:$B18,$B18),"")</f>
        <v>Ahbra#3</v>
      </c>
      <c r="U18" s="107"/>
      <c r="V18" s="108"/>
    </row>
    <row r="19" spans="1:22" ht="18" customHeight="1">
      <c r="A19" s="97"/>
      <c r="B19" s="97"/>
      <c r="C19" s="98"/>
      <c r="D19" s="97"/>
      <c r="E19" s="97"/>
      <c r="F19" s="97"/>
      <c r="G19" s="97"/>
      <c r="H19" s="99"/>
      <c r="I19" s="97"/>
      <c r="J19" s="100"/>
      <c r="K19" s="97"/>
      <c r="L19" s="100"/>
      <c r="M19" s="100"/>
      <c r="N19" s="97"/>
      <c r="O19" s="97"/>
      <c r="P19" s="97"/>
      <c r="Q19" s="97"/>
      <c r="R19" s="97"/>
      <c r="S19" s="99"/>
      <c r="T19" t="str">
        <f>IF($C19&lt;&gt;"",$B19&amp;"#"&amp;COUNTIF($B$5:$B19,$B19),"")</f>
        <v/>
      </c>
      <c r="U19" s="96" t="s">
        <v>261</v>
      </c>
      <c r="V19" s="70"/>
    </row>
    <row r="20" spans="1:22" ht="18" customHeight="1">
      <c r="A20" s="103"/>
      <c r="B20" s="103"/>
      <c r="C20" s="104"/>
      <c r="D20" s="103"/>
      <c r="E20" s="103"/>
      <c r="F20" s="103"/>
      <c r="G20" s="103"/>
      <c r="H20" s="105"/>
      <c r="I20" s="103"/>
      <c r="J20" s="106"/>
      <c r="K20" s="103"/>
      <c r="L20" s="106"/>
      <c r="M20" s="106"/>
      <c r="N20" s="103"/>
      <c r="O20" s="103"/>
      <c r="P20" s="103"/>
      <c r="Q20" s="103"/>
      <c r="R20" s="103"/>
      <c r="S20" s="105"/>
      <c r="T20" t="str">
        <f>IF($C20&lt;&gt;"",$B20&amp;"#"&amp;COUNTIF($B$5:$B20,$B20),"")</f>
        <v/>
      </c>
      <c r="U20" s="70" t="s">
        <v>209</v>
      </c>
      <c r="V20" s="70">
        <f>COUNTIF($F$5:$F$100,"HP")</f>
        <v>5</v>
      </c>
    </row>
    <row r="21" spans="1:22" ht="18" customHeight="1">
      <c r="A21" s="97"/>
      <c r="B21" s="97"/>
      <c r="C21" s="98"/>
      <c r="D21" s="97"/>
      <c r="E21" s="97"/>
      <c r="F21" s="97"/>
      <c r="G21" s="97"/>
      <c r="H21" s="99"/>
      <c r="I21" s="97"/>
      <c r="J21" s="100"/>
      <c r="K21" s="97"/>
      <c r="L21" s="100"/>
      <c r="M21" s="100"/>
      <c r="N21" s="97"/>
      <c r="O21" s="97"/>
      <c r="P21" s="97"/>
      <c r="Q21" s="97"/>
      <c r="R21" s="97"/>
      <c r="S21" s="99"/>
      <c r="T21" t="str">
        <f>IF($C21&lt;&gt;"",$B21&amp;"#"&amp;COUNTIF($B$5:$B21,$B21),"")</f>
        <v/>
      </c>
      <c r="U21" s="111" t="s">
        <v>219</v>
      </c>
      <c r="V21" s="111">
        <f>COUNTIF($F$5:$F$100,"HPE")</f>
        <v>3</v>
      </c>
    </row>
    <row r="22" spans="1:22" ht="18" customHeight="1">
      <c r="A22" s="103"/>
      <c r="B22" s="103"/>
      <c r="C22" s="104"/>
      <c r="D22" s="103"/>
      <c r="E22" s="103"/>
      <c r="F22" s="103"/>
      <c r="G22" s="103"/>
      <c r="H22" s="105"/>
      <c r="I22" s="103"/>
      <c r="J22" s="106"/>
      <c r="K22" s="103"/>
      <c r="L22" s="106"/>
      <c r="M22" s="106"/>
      <c r="N22" s="103"/>
      <c r="O22" s="103"/>
      <c r="P22" s="103"/>
      <c r="Q22" s="103"/>
      <c r="R22" s="103"/>
      <c r="S22" s="105"/>
      <c r="T22" t="str">
        <f>IF($C22&lt;&gt;"",$B22&amp;"#"&amp;COUNTIF($B$5:$B22,$B22),"")</f>
        <v/>
      </c>
      <c r="U22" s="111" t="s">
        <v>262</v>
      </c>
      <c r="V22" s="111">
        <f>COUNTIF($F$5:$F$100,"VRC")</f>
        <v>0</v>
      </c>
    </row>
    <row r="23" spans="1:22" ht="18" customHeight="1">
      <c r="A23" s="97"/>
      <c r="B23" s="97"/>
      <c r="C23" s="98"/>
      <c r="D23" s="97"/>
      <c r="E23" s="97"/>
      <c r="F23" s="97"/>
      <c r="G23" s="97"/>
      <c r="H23" s="97"/>
      <c r="I23" s="97"/>
      <c r="J23" s="100"/>
      <c r="K23" s="97"/>
      <c r="L23" s="100"/>
      <c r="M23" s="100"/>
      <c r="N23" s="97"/>
      <c r="O23" s="97"/>
      <c r="P23" s="97"/>
      <c r="Q23" s="97"/>
      <c r="R23" s="97"/>
      <c r="S23" s="97"/>
      <c r="T23" t="str">
        <f>IF($C23&lt;&gt;"",$B23&amp;"#"&amp;COUNTIF($B$5:$B23,$B23),"")</f>
        <v/>
      </c>
    </row>
    <row r="24" spans="1:22" ht="18" customHeight="1">
      <c r="A24" s="103"/>
      <c r="B24" s="103"/>
      <c r="C24" s="104"/>
      <c r="D24" s="103"/>
      <c r="E24" s="103"/>
      <c r="F24" s="103"/>
      <c r="G24" s="103"/>
      <c r="H24" s="103"/>
      <c r="I24" s="103"/>
      <c r="J24" s="106"/>
      <c r="K24" s="103"/>
      <c r="L24" s="106"/>
      <c r="M24" s="106"/>
      <c r="N24" s="103"/>
      <c r="O24" s="103"/>
      <c r="P24" s="103"/>
      <c r="Q24" s="103"/>
      <c r="R24" s="103"/>
      <c r="S24" s="103"/>
      <c r="T24" t="str">
        <f>IF($C24&lt;&gt;"",$B24&amp;"#"&amp;COUNTIF($B$5:$B24,$B24),"")</f>
        <v/>
      </c>
    </row>
    <row r="25" spans="1:22" ht="18" customHeight="1">
      <c r="A25" s="97"/>
      <c r="B25" s="97"/>
      <c r="C25" s="98"/>
      <c r="D25" s="97"/>
      <c r="E25" s="97"/>
      <c r="F25" s="97"/>
      <c r="G25" s="97"/>
      <c r="H25" s="97"/>
      <c r="I25" s="97"/>
      <c r="J25" s="100"/>
      <c r="K25" s="97"/>
      <c r="L25" s="100"/>
      <c r="M25" s="100"/>
      <c r="N25" s="97"/>
      <c r="O25" s="97"/>
      <c r="P25" s="97"/>
      <c r="Q25" s="97"/>
      <c r="R25" s="97"/>
      <c r="S25" s="97"/>
      <c r="T25" t="str">
        <f>IF($C25&lt;&gt;"",$B25&amp;"#"&amp;COUNTIF($B$5:$B25,$B25),"")</f>
        <v/>
      </c>
    </row>
    <row r="26" spans="1:22" ht="18" customHeight="1">
      <c r="A26" s="103"/>
      <c r="B26" s="103"/>
      <c r="C26" s="104"/>
      <c r="D26" s="103"/>
      <c r="E26" s="103"/>
      <c r="F26" s="103"/>
      <c r="G26" s="103"/>
      <c r="H26" s="103"/>
      <c r="I26" s="103"/>
      <c r="J26" s="106"/>
      <c r="K26" s="103"/>
      <c r="L26" s="106"/>
      <c r="M26" s="106"/>
      <c r="N26" s="103"/>
      <c r="O26" s="103"/>
      <c r="P26" s="103"/>
      <c r="Q26" s="103"/>
      <c r="R26" s="103"/>
      <c r="S26" s="103"/>
      <c r="T26" t="str">
        <f>IF($C26&lt;&gt;"",$B26&amp;"#"&amp;COUNTIF($B$5:$B26,$B26),"")</f>
        <v/>
      </c>
    </row>
    <row r="27" spans="1:22" ht="18" customHeight="1">
      <c r="A27" s="97"/>
      <c r="B27" s="97"/>
      <c r="C27" s="98"/>
      <c r="D27" s="97"/>
      <c r="E27" s="97"/>
      <c r="F27" s="97"/>
      <c r="G27" s="97"/>
      <c r="H27" s="97"/>
      <c r="I27" s="97"/>
      <c r="J27" s="100"/>
      <c r="K27" s="97"/>
      <c r="L27" s="100"/>
      <c r="M27" s="100"/>
      <c r="N27" s="97"/>
      <c r="O27" s="97"/>
      <c r="P27" s="97"/>
      <c r="Q27" s="97"/>
      <c r="R27" s="97"/>
      <c r="S27" s="97"/>
      <c r="T27" t="str">
        <f>IF($C27&lt;&gt;"",$B27&amp;"#"&amp;COUNTIF($B$5:$B27,$B27),"")</f>
        <v/>
      </c>
    </row>
    <row r="28" spans="1:22" ht="18" customHeight="1">
      <c r="A28" s="103"/>
      <c r="B28" s="103"/>
      <c r="C28" s="104"/>
      <c r="D28" s="103"/>
      <c r="E28" s="103"/>
      <c r="F28" s="103"/>
      <c r="G28" s="103"/>
      <c r="H28" s="103"/>
      <c r="I28" s="103"/>
      <c r="J28" s="106"/>
      <c r="K28" s="103"/>
      <c r="L28" s="106"/>
      <c r="M28" s="106"/>
      <c r="N28" s="103"/>
      <c r="O28" s="103"/>
      <c r="P28" s="103"/>
      <c r="Q28" s="103"/>
      <c r="R28" s="103"/>
      <c r="S28" s="103"/>
      <c r="T28" t="str">
        <f>IF($C28&lt;&gt;"",$B28&amp;"#"&amp;COUNTIF($B$5:$B28,$B28),"")</f>
        <v/>
      </c>
    </row>
    <row r="29" spans="1:22" ht="18" customHeight="1">
      <c r="A29" s="97"/>
      <c r="B29" s="97"/>
      <c r="C29" s="98"/>
      <c r="D29" s="97"/>
      <c r="E29" s="97"/>
      <c r="F29" s="97"/>
      <c r="G29" s="97"/>
      <c r="H29" s="97"/>
      <c r="I29" s="97"/>
      <c r="J29" s="100"/>
      <c r="K29" s="97"/>
      <c r="L29" s="100"/>
      <c r="M29" s="100"/>
      <c r="N29" s="97"/>
      <c r="O29" s="97"/>
      <c r="P29" s="97"/>
      <c r="Q29" s="97"/>
      <c r="R29" s="97"/>
      <c r="S29" s="97"/>
      <c r="T29" t="str">
        <f>IF($C29&lt;&gt;"",$B29&amp;"#"&amp;COUNTIF($B$5:$B29,$B29),"")</f>
        <v/>
      </c>
    </row>
    <row r="30" spans="1:22" ht="18" customHeight="1">
      <c r="A30" s="103"/>
      <c r="B30" s="103"/>
      <c r="C30" s="104"/>
      <c r="D30" s="103"/>
      <c r="E30" s="103"/>
      <c r="F30" s="103"/>
      <c r="G30" s="103"/>
      <c r="H30" s="103"/>
      <c r="I30" s="103"/>
      <c r="J30" s="106"/>
      <c r="K30" s="103"/>
      <c r="L30" s="106"/>
      <c r="M30" s="106"/>
      <c r="N30" s="103"/>
      <c r="O30" s="103"/>
      <c r="P30" s="103"/>
      <c r="Q30" s="103"/>
      <c r="R30" s="103"/>
      <c r="S30" s="103"/>
      <c r="T30" t="str">
        <f>IF($C30&lt;&gt;"",$B30&amp;"#"&amp;COUNTIF($B$5:$B30,$B30),"")</f>
        <v/>
      </c>
    </row>
    <row r="31" spans="1:22" ht="18" customHeight="1">
      <c r="A31" s="97"/>
      <c r="B31" s="97"/>
      <c r="C31" s="98"/>
      <c r="D31" s="97"/>
      <c r="E31" s="97"/>
      <c r="F31" s="97"/>
      <c r="G31" s="97"/>
      <c r="H31" s="97"/>
      <c r="I31" s="97"/>
      <c r="J31" s="100"/>
      <c r="K31" s="97"/>
      <c r="L31" s="100"/>
      <c r="M31" s="100"/>
      <c r="N31" s="97"/>
      <c r="O31" s="97"/>
      <c r="P31" s="97"/>
      <c r="Q31" s="97"/>
      <c r="R31" s="97"/>
      <c r="S31" s="97"/>
      <c r="T31" t="str">
        <f>IF($C31&lt;&gt;"",$B31&amp;"#"&amp;COUNTIF($B$5:$B31,$B31),"")</f>
        <v/>
      </c>
    </row>
    <row r="32" spans="1:22" ht="18" customHeight="1">
      <c r="A32" s="103"/>
      <c r="B32" s="103"/>
      <c r="C32" s="104"/>
      <c r="D32" s="103"/>
      <c r="E32" s="103"/>
      <c r="F32" s="103"/>
      <c r="G32" s="103"/>
      <c r="H32" s="103"/>
      <c r="I32" s="103"/>
      <c r="J32" s="106"/>
      <c r="K32" s="103"/>
      <c r="L32" s="106"/>
      <c r="M32" s="106"/>
      <c r="N32" s="103"/>
      <c r="O32" s="103"/>
      <c r="P32" s="103"/>
      <c r="Q32" s="103"/>
      <c r="R32" s="103"/>
      <c r="S32" s="103"/>
      <c r="T32" t="str">
        <f>IF($C32&lt;&gt;"",$B32&amp;"#"&amp;COUNTIF($B$5:$B32,$B32),"")</f>
        <v/>
      </c>
    </row>
    <row r="33" spans="1:20" ht="18" customHeight="1">
      <c r="A33" s="97"/>
      <c r="B33" s="97"/>
      <c r="C33" s="98"/>
      <c r="D33" s="97"/>
      <c r="E33" s="97"/>
      <c r="F33" s="97"/>
      <c r="G33" s="97"/>
      <c r="H33" s="97"/>
      <c r="I33" s="97"/>
      <c r="J33" s="100"/>
      <c r="K33" s="97"/>
      <c r="L33" s="100"/>
      <c r="M33" s="100"/>
      <c r="N33" s="97"/>
      <c r="O33" s="97"/>
      <c r="P33" s="97"/>
      <c r="Q33" s="97"/>
      <c r="R33" s="97"/>
      <c r="S33" s="97"/>
      <c r="T33" t="str">
        <f>IF($C33&lt;&gt;"",$B33&amp;"#"&amp;COUNTIF($B$5:$B33,$B33),"")</f>
        <v/>
      </c>
    </row>
    <row r="34" spans="1:20" ht="18" customHeight="1">
      <c r="A34" s="103"/>
      <c r="B34" s="103"/>
      <c r="C34" s="104"/>
      <c r="D34" s="103"/>
      <c r="E34" s="103"/>
      <c r="F34" s="103"/>
      <c r="G34" s="103"/>
      <c r="H34" s="103"/>
      <c r="I34" s="103"/>
      <c r="J34" s="106"/>
      <c r="K34" s="103"/>
      <c r="L34" s="106"/>
      <c r="M34" s="106"/>
      <c r="N34" s="103"/>
      <c r="O34" s="103"/>
      <c r="P34" s="103"/>
      <c r="Q34" s="103"/>
      <c r="R34" s="103"/>
      <c r="S34" s="103"/>
      <c r="T34" t="str">
        <f>IF($C34&lt;&gt;"",$B34&amp;"#"&amp;COUNTIF($B$5:$B34,$B34),"")</f>
        <v/>
      </c>
    </row>
    <row r="35" spans="1:20" ht="18" customHeight="1">
      <c r="A35" s="97"/>
      <c r="B35" s="97"/>
      <c r="C35" s="98"/>
      <c r="D35" s="97"/>
      <c r="E35" s="97"/>
      <c r="F35" s="97"/>
      <c r="G35" s="97"/>
      <c r="H35" s="97"/>
      <c r="I35" s="97"/>
      <c r="J35" s="100"/>
      <c r="K35" s="97"/>
      <c r="L35" s="100"/>
      <c r="M35" s="100"/>
      <c r="N35" s="97"/>
      <c r="O35" s="97"/>
      <c r="P35" s="97"/>
      <c r="Q35" s="97"/>
      <c r="R35" s="97"/>
      <c r="S35" s="97"/>
      <c r="T35" t="str">
        <f>IF($C35&lt;&gt;"",$B35&amp;"#"&amp;COUNTIF($B$5:$B35,$B35),"")</f>
        <v/>
      </c>
    </row>
    <row r="36" spans="1:20" ht="18" customHeight="1">
      <c r="A36" s="103"/>
      <c r="B36" s="103"/>
      <c r="C36" s="104"/>
      <c r="D36" s="103"/>
      <c r="E36" s="103"/>
      <c r="F36" s="103"/>
      <c r="G36" s="103"/>
      <c r="H36" s="103"/>
      <c r="I36" s="103"/>
      <c r="J36" s="106"/>
      <c r="K36" s="103"/>
      <c r="L36" s="106"/>
      <c r="M36" s="106"/>
      <c r="N36" s="103"/>
      <c r="O36" s="103"/>
      <c r="P36" s="103"/>
      <c r="Q36" s="103"/>
      <c r="R36" s="103"/>
      <c r="S36" s="103"/>
      <c r="T36" t="str">
        <f>IF($C36&lt;&gt;"",$B36&amp;"#"&amp;COUNTIF($B$5:$B36,$B36),"")</f>
        <v/>
      </c>
    </row>
    <row r="37" spans="1:20" ht="18" customHeight="1">
      <c r="A37" s="97"/>
      <c r="B37" s="97"/>
      <c r="C37" s="98"/>
      <c r="D37" s="97"/>
      <c r="E37" s="97"/>
      <c r="F37" s="97"/>
      <c r="G37" s="97"/>
      <c r="H37" s="97"/>
      <c r="I37" s="97"/>
      <c r="J37" s="100"/>
      <c r="K37" s="97"/>
      <c r="L37" s="100"/>
      <c r="M37" s="100"/>
      <c r="N37" s="97"/>
      <c r="O37" s="97"/>
      <c r="P37" s="97"/>
      <c r="Q37" s="97"/>
      <c r="R37" s="97"/>
      <c r="S37" s="97"/>
      <c r="T37" t="str">
        <f>IF($C37&lt;&gt;"",$B37&amp;"#"&amp;COUNTIF($B$5:$B37,$B37),"")</f>
        <v/>
      </c>
    </row>
    <row r="38" spans="1:20" ht="18" customHeight="1">
      <c r="A38" s="103"/>
      <c r="B38" s="103"/>
      <c r="C38" s="104"/>
      <c r="D38" s="103"/>
      <c r="E38" s="103"/>
      <c r="F38" s="103"/>
      <c r="G38" s="103"/>
      <c r="H38" s="103"/>
      <c r="I38" s="103"/>
      <c r="J38" s="106"/>
      <c r="K38" s="103"/>
      <c r="L38" s="106"/>
      <c r="M38" s="106"/>
      <c r="N38" s="103"/>
      <c r="O38" s="103"/>
      <c r="P38" s="103"/>
      <c r="Q38" s="103"/>
      <c r="R38" s="103"/>
      <c r="S38" s="103"/>
      <c r="T38" t="str">
        <f>IF($C38&lt;&gt;"",$B38&amp;"#"&amp;COUNTIF($B$5:$B38,$B38),"")</f>
        <v/>
      </c>
    </row>
    <row r="39" spans="1:20" ht="18" customHeight="1">
      <c r="A39" s="97"/>
      <c r="B39" s="97"/>
      <c r="C39" s="98"/>
      <c r="D39" s="97"/>
      <c r="E39" s="97"/>
      <c r="F39" s="97"/>
      <c r="G39" s="97"/>
      <c r="H39" s="97"/>
      <c r="I39" s="97"/>
      <c r="J39" s="100"/>
      <c r="K39" s="97"/>
      <c r="L39" s="100"/>
      <c r="M39" s="100"/>
      <c r="N39" s="97"/>
      <c r="O39" s="97"/>
      <c r="P39" s="97"/>
      <c r="Q39" s="97"/>
      <c r="R39" s="97"/>
      <c r="S39" s="97"/>
      <c r="T39" t="str">
        <f>IF($C39&lt;&gt;"",$B39&amp;"#"&amp;COUNTIF($B$5:$B39,$B39),"")</f>
        <v/>
      </c>
    </row>
    <row r="40" spans="1:20" ht="18" customHeight="1">
      <c r="A40" s="103"/>
      <c r="B40" s="103"/>
      <c r="C40" s="104"/>
      <c r="D40" s="103"/>
      <c r="E40" s="103"/>
      <c r="F40" s="103"/>
      <c r="G40" s="103"/>
      <c r="H40" s="103"/>
      <c r="I40" s="103"/>
      <c r="J40" s="106"/>
      <c r="K40" s="103"/>
      <c r="L40" s="106"/>
      <c r="M40" s="106"/>
      <c r="N40" s="103"/>
      <c r="O40" s="103"/>
      <c r="P40" s="103"/>
      <c r="Q40" s="103"/>
      <c r="R40" s="103"/>
      <c r="S40" s="103"/>
      <c r="T40" t="str">
        <f>IF($C40&lt;&gt;"",$B40&amp;"#"&amp;COUNTIF($B$5:$B40,$B40),"")</f>
        <v/>
      </c>
    </row>
    <row r="41" spans="1:20" ht="18" hidden="1" customHeight="1">
      <c r="A41" s="97"/>
      <c r="B41" s="97"/>
      <c r="C41" s="98"/>
      <c r="D41" s="97"/>
      <c r="E41" s="97"/>
      <c r="F41" s="97"/>
      <c r="G41" s="97"/>
      <c r="H41" s="97"/>
      <c r="I41" s="97"/>
      <c r="J41" s="100"/>
      <c r="K41" s="97"/>
      <c r="L41" s="100"/>
      <c r="M41" s="100"/>
      <c r="N41" s="97"/>
      <c r="O41" s="97"/>
      <c r="P41" s="97"/>
      <c r="Q41" s="97"/>
      <c r="R41" s="97"/>
      <c r="S41" s="97"/>
    </row>
    <row r="42" spans="1:20" ht="18" hidden="1" customHeight="1">
      <c r="A42" s="103"/>
      <c r="B42" s="103"/>
      <c r="C42" s="104"/>
      <c r="D42" s="103"/>
      <c r="E42" s="103"/>
      <c r="F42" s="103"/>
      <c r="G42" s="103"/>
      <c r="H42" s="103"/>
      <c r="I42" s="103"/>
      <c r="J42" s="106"/>
      <c r="K42" s="103"/>
      <c r="L42" s="106"/>
      <c r="M42" s="106"/>
      <c r="N42" s="103"/>
      <c r="O42" s="103"/>
      <c r="P42" s="103"/>
      <c r="Q42" s="103"/>
      <c r="R42" s="103"/>
      <c r="S42" s="103"/>
    </row>
    <row r="43" spans="1:20" ht="18" hidden="1" customHeight="1">
      <c r="A43" s="97"/>
      <c r="B43" s="97"/>
      <c r="C43" s="98"/>
      <c r="D43" s="97"/>
      <c r="E43" s="97"/>
      <c r="F43" s="97"/>
      <c r="G43" s="97"/>
      <c r="H43" s="97"/>
      <c r="I43" s="97"/>
      <c r="J43" s="100"/>
      <c r="K43" s="97"/>
      <c r="L43" s="100"/>
      <c r="M43" s="100"/>
      <c r="N43" s="97"/>
      <c r="O43" s="97"/>
      <c r="P43" s="97"/>
      <c r="Q43" s="97"/>
      <c r="R43" s="97"/>
      <c r="S43" s="97"/>
    </row>
    <row r="44" spans="1:20" ht="18" hidden="1" customHeight="1">
      <c r="A44" s="103"/>
      <c r="B44" s="103"/>
      <c r="C44" s="104"/>
      <c r="D44" s="103"/>
      <c r="E44" s="103"/>
      <c r="F44" s="103"/>
      <c r="G44" s="103"/>
      <c r="H44" s="103"/>
      <c r="I44" s="103"/>
      <c r="J44" s="106"/>
      <c r="K44" s="103"/>
      <c r="L44" s="106"/>
      <c r="M44" s="106"/>
      <c r="N44" s="103"/>
      <c r="O44" s="103"/>
      <c r="P44" s="103"/>
      <c r="Q44" s="103"/>
      <c r="R44" s="103"/>
      <c r="S44" s="103"/>
    </row>
    <row r="45" spans="1:20" ht="15" hidden="1" customHeight="1"/>
  </sheetData>
  <autoFilter ref="A4:J26" xr:uid="{00000000-0009-0000-0000-000005000000}"/>
  <mergeCells count="6">
    <mergeCell ref="A1:S1"/>
    <mergeCell ref="A2:S2"/>
    <mergeCell ref="A3:B3"/>
    <mergeCell ref="C3:D3"/>
    <mergeCell ref="E3:F3"/>
    <mergeCell ref="G3:H3"/>
  </mergeCells>
  <conditionalFormatting sqref="C5:C44">
    <cfRule type="expression" dxfId="35" priority="3">
      <formula>AND($C5&lt;&gt;"",COUNTIF(DO_NOT_READMIT,$C5)&gt;0)</formula>
    </cfRule>
  </conditionalFormatting>
  <conditionalFormatting sqref="D5:D44">
    <cfRule type="cellIs" dxfId="34" priority="5" operator="equal">
      <formula>"Scheduled"</formula>
    </cfRule>
    <cfRule type="cellIs" dxfId="33" priority="6" operator="equal">
      <formula>"Prospect"</formula>
    </cfRule>
    <cfRule type="cellIs" dxfId="32" priority="7" operator="equal">
      <formula>"Lead"</formula>
    </cfRule>
  </conditionalFormatting>
  <conditionalFormatting sqref="I5:I44">
    <cfRule type="expression" dxfId="31" priority="2">
      <formula>COUNTIF(NON_CONTRACTED,$I5)&gt;0</formula>
    </cfRule>
  </conditionalFormatting>
  <conditionalFormatting sqref="O5:O44">
    <cfRule type="iconSet" priority="4">
      <iconSet reverse="1">
        <cfvo type="num" val="0"/>
        <cfvo type="num" val="3"/>
        <cfvo type="num" val="4"/>
      </iconSet>
    </cfRule>
  </conditionalFormatting>
  <dataValidations count="13">
    <dataValidation type="list" allowBlank="1" sqref="B5:B40" xr:uid="{00000000-0002-0000-0500-000000000000}">
      <formula1>ACTIVE_REPS</formula1>
      <formula2>0</formula2>
    </dataValidation>
    <dataValidation type="list" allowBlank="1" sqref="D5:D40" xr:uid="{00000000-0002-0000-0500-000001000000}">
      <formula1>STATUS</formula1>
      <formula2>0</formula2>
    </dataValidation>
    <dataValidation type="list" allowBlank="1" sqref="E5:E40" xr:uid="{00000000-0002-0000-0500-000002000000}">
      <formula1>LOC</formula1>
      <formula2>0</formula2>
    </dataValidation>
    <dataValidation type="list" allowBlank="1" sqref="F5:F40" xr:uid="{00000000-0002-0000-0500-000003000000}">
      <formula1>FACILITY</formula1>
      <formula2>0</formula2>
    </dataValidation>
    <dataValidation type="list" allowBlank="1" sqref="G5:G40" xr:uid="{00000000-0002-0000-0500-000004000000}">
      <formula1>"✓,x,"</formula1>
      <formula2>0</formula2>
    </dataValidation>
    <dataValidation type="list" allowBlank="1" sqref="I5:I40" xr:uid="{00000000-0002-0000-0500-000005000000}">
      <formula1>INSURANCE_OK</formula1>
      <formula2>0</formula2>
    </dataValidation>
    <dataValidation type="custom" allowBlank="1" showInputMessage="1" showErrorMessage="1" errorTitle="Date, TBD, or blank" error="Enter a real date (e.g., 6/15/2026), or type TBD, or leave it blank." promptTitle="Intake date" prompt="Type a date (e.g., 6/15/2026) and it locks in as a real date. Or type TBD. Or leave blank." sqref="H5:H40" xr:uid="{00000000-0002-0000-0500-000006000000}">
      <formula1>OR(ISNUMBER(H5),UPPER(H5)="TBD",H5="")</formula1>
      <formula2>0</formula2>
    </dataValidation>
    <dataValidation type="list" allowBlank="1" showErrorMessage="1" sqref="K5:K40" xr:uid="{00000000-0002-0000-0500-000007000000}">
      <formula1>"Web,Professional Referral,Personal/BD,Alumni,Insurance Referral,PsychologyToday,Other"</formula1>
      <formula2>0</formula2>
    </dataValidation>
    <dataValidation type="list" allowBlank="1" showErrorMessage="1" sqref="N5:N40" xr:uid="{00000000-0002-0000-0500-000008000000}">
      <formula1>"Not Yet Scheduled,Scheduled,Completed"</formula1>
      <formula2>0</formula2>
    </dataValidation>
    <dataValidation type="list" allowBlank="1" showErrorMessage="1" sqref="P5:P40" xr:uid="{00000000-0002-0000-0500-000009000000}">
      <formula1>"Admitted,Lost,Declined,Referred Out,Follow-Up,Pending"</formula1>
      <formula2>0</formula2>
    </dataValidation>
    <dataValidation type="list" allowBlank="1" showErrorMessage="1" sqref="Q5:R40" xr:uid="{00000000-0002-0000-0500-00000A000000}">
      <formula1>"Yes,No"</formula1>
      <formula2>0</formula2>
    </dataValidation>
    <dataValidation type="whole" allowBlank="1" showErrorMessage="1" errorTitle="Priority 1-5" error="Enter a priority 1 (low) to 5 (high)." sqref="O5:O40" xr:uid="{00000000-0002-0000-0500-00000B000000}">
      <formula1>1</formula1>
      <formula2>5</formula2>
    </dataValidation>
    <dataValidation type="custom" allowBlank="1" sqref="S5:S40" xr:uid="{00000000-0002-0000-0500-00000C000000}">
      <formula1>OR(ISNUMBER(S5),S5="")</formula1>
      <formula2>0</formula2>
    </dataValidation>
  </dataValidations>
  <printOptions horizontalCentered="1" gridLines="1"/>
  <pageMargins left="0.3" right="0.3" top="0.4" bottom="0.4" header="0.3" footer="0.3"/>
  <pageSetup orientation="landscape" horizontalDpi="300" verticalDpi="300"/>
  <headerFooter>
    <oddHeader>&amp;LHarmony Place&amp;CWeekly Admissions Meeting — Pipeline&amp;R&amp;D</oddHeader>
    <oddFooter>&amp;CPage &amp;P of &amp;N&amp;RPrinted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8860B"/>
  </sheetPr>
  <dimension ref="A1:AM75"/>
  <sheetViews>
    <sheetView showGridLines="0" zoomScale="140" zoomScaleNormal="140" workbookViewId="0">
      <pane xSplit="2" ySplit="4" topLeftCell="C5" activePane="bottomRight" state="frozen"/>
      <selection pane="bottomRight"/>
      <selection pane="bottomLeft" activeCell="A5" sqref="A5"/>
      <selection pane="topRight" activeCell="C1" sqref="C1"/>
    </sheetView>
  </sheetViews>
  <sheetFormatPr defaultColWidth="0" defaultRowHeight="15" zeroHeight="1"/>
  <cols>
    <col min="1" max="1" width="4" customWidth="1"/>
    <col min="2" max="2" width="24" customWidth="1"/>
    <col min="3" max="3" width="12" customWidth="1"/>
    <col min="4" max="4" width="13"/>
    <col min="5" max="5" width="7" customWidth="1"/>
    <col min="6" max="6" width="14" customWidth="1"/>
    <col min="7" max="7" width="10" customWidth="1"/>
    <col min="8" max="8" width="13"/>
    <col min="9" max="9" width="8" customWidth="1"/>
    <col min="10" max="10" width="9" customWidth="1"/>
    <col min="11" max="11" width="23" customWidth="1"/>
    <col min="12" max="12" width="22" customWidth="1"/>
    <col min="13" max="13" width="16" customWidth="1"/>
    <col min="14" max="14" width="14" customWidth="1"/>
    <col min="15" max="15" width="22" customWidth="1"/>
    <col min="16" max="16" width="10" customWidth="1"/>
    <col min="17" max="17" width="13"/>
    <col min="18" max="18" width="16" customWidth="1"/>
    <col min="19" max="19" width="12" customWidth="1"/>
    <col min="20" max="20" width="10" customWidth="1"/>
    <col min="21" max="21" width="15" customWidth="1"/>
    <col min="22" max="22" width="12" customWidth="1"/>
    <col min="23" max="23" width="32" customWidth="1"/>
    <col min="24" max="24" width="19" customWidth="1"/>
    <col min="25" max="25" width="13"/>
    <col min="26" max="26" width="10" customWidth="1"/>
    <col min="27" max="27" width="8.7109375" customWidth="1"/>
    <col min="28" max="29" width="11" hidden="1" customWidth="1"/>
    <col min="30" max="16384" width="13" hidden="1"/>
  </cols>
  <sheetData>
    <row r="1" spans="1:29" ht="25.5" customHeight="1">
      <c r="A1" s="306" t="s">
        <v>263</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row>
    <row r="2" spans="1:29" ht="15.75" customHeight="1">
      <c r="A2" s="307" t="str">
        <f>COUNTA(B5:B60)&amp;" Admits"</f>
        <v>28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row>
    <row r="5" spans="1:29" ht="21.75" customHeight="1">
      <c r="A5" s="117" t="s">
        <v>210</v>
      </c>
      <c r="B5" s="117" t="s">
        <v>281</v>
      </c>
      <c r="C5" s="118">
        <v>46143</v>
      </c>
      <c r="D5" s="117"/>
      <c r="E5" s="119">
        <f t="shared" ref="E5:E32" ca="1" si="0">IF(C5="","",IF(D5="",INT(TODAY())-INT(C5),MAX(0,INT(D5)-INT(C5))))</f>
        <v>47</v>
      </c>
      <c r="F5" s="120" t="s">
        <v>257</v>
      </c>
      <c r="G5" s="117" t="s">
        <v>209</v>
      </c>
      <c r="H5" s="117" t="s">
        <v>126</v>
      </c>
      <c r="I5" s="121"/>
      <c r="J5" s="117" t="s">
        <v>101</v>
      </c>
      <c r="K5" s="117" t="s">
        <v>149</v>
      </c>
      <c r="L5" s="117" t="s">
        <v>282</v>
      </c>
      <c r="M5" s="117" t="s">
        <v>105</v>
      </c>
      <c r="N5" s="117" t="s">
        <v>226</v>
      </c>
      <c r="O5" s="117" t="s">
        <v>283</v>
      </c>
      <c r="P5" s="122"/>
      <c r="Q5" s="123"/>
      <c r="R5" s="122"/>
      <c r="S5" s="123"/>
      <c r="T5" s="123"/>
      <c r="U5" s="123"/>
      <c r="V5" s="124" t="str">
        <f t="shared" ref="V5:V32" si="1">IFERROR(IF(SUM($Q5,$R5,$S5,$T5,$U5)&gt;0,SUM($Q5,$R5,$S5,$T5,$U5),""),"")</f>
        <v/>
      </c>
      <c r="W5" s="124"/>
      <c r="X5" s="117" t="s">
        <v>284</v>
      </c>
      <c r="Y5" s="119"/>
      <c r="Z5" s="124"/>
      <c r="AA5" s="124"/>
      <c r="AB5" s="125" t="s">
        <v>285</v>
      </c>
      <c r="AC5" s="121"/>
    </row>
    <row r="6" spans="1:29" ht="21.75" customHeight="1">
      <c r="A6" s="117" t="s">
        <v>210</v>
      </c>
      <c r="B6" s="117" t="s">
        <v>165</v>
      </c>
      <c r="C6" s="118">
        <v>46143</v>
      </c>
      <c r="D6" s="117"/>
      <c r="E6" s="119">
        <f t="shared" ca="1" si="0"/>
        <v>47</v>
      </c>
      <c r="F6" s="120" t="s">
        <v>257</v>
      </c>
      <c r="G6" s="117" t="s">
        <v>209</v>
      </c>
      <c r="H6" s="117" t="s">
        <v>126</v>
      </c>
      <c r="I6" s="121"/>
      <c r="J6" s="117" t="s">
        <v>101</v>
      </c>
      <c r="K6" s="117" t="s">
        <v>248</v>
      </c>
      <c r="L6" s="117" t="s">
        <v>286</v>
      </c>
      <c r="M6" s="117" t="s">
        <v>167</v>
      </c>
      <c r="N6" s="117" t="s">
        <v>250</v>
      </c>
      <c r="O6" s="117"/>
      <c r="P6" s="126"/>
      <c r="Q6" s="123"/>
      <c r="R6" s="126"/>
      <c r="S6" s="123"/>
      <c r="T6" s="123"/>
      <c r="U6" s="123"/>
      <c r="V6" s="124" t="str">
        <f t="shared" si="1"/>
        <v/>
      </c>
      <c r="W6" s="124"/>
      <c r="X6" s="117" t="s">
        <v>284</v>
      </c>
      <c r="Y6" s="119"/>
      <c r="Z6" s="124"/>
      <c r="AA6" s="124"/>
      <c r="AB6" s="125" t="s">
        <v>222</v>
      </c>
      <c r="AC6" s="121"/>
    </row>
    <row r="7" spans="1:29" ht="21.75" customHeight="1">
      <c r="A7" s="117" t="s">
        <v>210</v>
      </c>
      <c r="B7" s="117" t="s">
        <v>287</v>
      </c>
      <c r="C7" s="118">
        <v>46144</v>
      </c>
      <c r="D7" s="117"/>
      <c r="E7" s="119">
        <f t="shared" ca="1" si="0"/>
        <v>46</v>
      </c>
      <c r="F7" s="125"/>
      <c r="G7" s="117" t="s">
        <v>219</v>
      </c>
      <c r="H7" s="117" t="s">
        <v>288</v>
      </c>
      <c r="I7" s="121"/>
      <c r="J7" s="117" t="s">
        <v>252</v>
      </c>
      <c r="K7" s="117" t="s">
        <v>248</v>
      </c>
      <c r="L7" s="117" t="s">
        <v>289</v>
      </c>
      <c r="M7" s="117" t="s">
        <v>105</v>
      </c>
      <c r="N7" s="117" t="s">
        <v>250</v>
      </c>
      <c r="O7" s="117"/>
      <c r="P7" s="122"/>
      <c r="Q7" s="123"/>
      <c r="R7" s="122"/>
      <c r="S7" s="123"/>
      <c r="T7" s="123"/>
      <c r="U7" s="123"/>
      <c r="V7" s="124" t="str">
        <f t="shared" si="1"/>
        <v/>
      </c>
      <c r="W7" s="124"/>
      <c r="X7" s="117"/>
      <c r="Y7" s="119"/>
      <c r="Z7" s="124"/>
      <c r="AA7" s="124"/>
      <c r="AB7" s="125" t="s">
        <v>285</v>
      </c>
      <c r="AC7" s="121"/>
    </row>
    <row r="8" spans="1:29" ht="21.75" customHeight="1">
      <c r="A8" s="117" t="s">
        <v>210</v>
      </c>
      <c r="B8" s="117" t="s">
        <v>290</v>
      </c>
      <c r="C8" s="118">
        <v>46145</v>
      </c>
      <c r="D8" s="117"/>
      <c r="E8" s="119">
        <f t="shared" ca="1" si="0"/>
        <v>45</v>
      </c>
      <c r="F8" s="127" t="s">
        <v>216</v>
      </c>
      <c r="G8" s="117" t="s">
        <v>209</v>
      </c>
      <c r="H8" s="117" t="s">
        <v>288</v>
      </c>
      <c r="I8" s="121"/>
      <c r="J8" s="117" t="s">
        <v>101</v>
      </c>
      <c r="K8" s="117" t="s">
        <v>248</v>
      </c>
      <c r="L8" s="117" t="s">
        <v>157</v>
      </c>
      <c r="M8" s="117" t="s">
        <v>123</v>
      </c>
      <c r="N8" s="117" t="s">
        <v>250</v>
      </c>
      <c r="O8" s="117"/>
      <c r="P8" s="126"/>
      <c r="Q8" s="123"/>
      <c r="R8" s="126"/>
      <c r="S8" s="123"/>
      <c r="T8" s="123"/>
      <c r="U8" s="123"/>
      <c r="V8" s="124" t="str">
        <f t="shared" si="1"/>
        <v/>
      </c>
      <c r="W8" s="124"/>
      <c r="X8" s="117" t="s">
        <v>291</v>
      </c>
      <c r="Y8" s="119"/>
      <c r="Z8" s="124"/>
      <c r="AA8" s="124"/>
      <c r="AB8" s="125" t="s">
        <v>285</v>
      </c>
      <c r="AC8" s="121"/>
    </row>
    <row r="9" spans="1:29" ht="21.75" customHeight="1">
      <c r="A9" s="117" t="s">
        <v>210</v>
      </c>
      <c r="B9" s="117" t="s">
        <v>292</v>
      </c>
      <c r="C9" s="118">
        <v>46147</v>
      </c>
      <c r="D9" s="117"/>
      <c r="E9" s="119">
        <f t="shared" ca="1" si="0"/>
        <v>43</v>
      </c>
      <c r="F9" s="120" t="s">
        <v>257</v>
      </c>
      <c r="G9" s="117" t="s">
        <v>219</v>
      </c>
      <c r="H9" s="117" t="s">
        <v>126</v>
      </c>
      <c r="I9" s="121"/>
      <c r="J9" s="117" t="s">
        <v>129</v>
      </c>
      <c r="K9" s="117" t="s">
        <v>106</v>
      </c>
      <c r="L9" s="117" t="s">
        <v>106</v>
      </c>
      <c r="M9" s="117" t="s">
        <v>167</v>
      </c>
      <c r="N9" s="117" t="s">
        <v>250</v>
      </c>
      <c r="O9" s="117" t="s">
        <v>283</v>
      </c>
      <c r="P9" s="122" t="s">
        <v>273</v>
      </c>
      <c r="Q9" s="123"/>
      <c r="R9" s="122"/>
      <c r="S9" s="123"/>
      <c r="T9" s="123"/>
      <c r="U9" s="123"/>
      <c r="V9" s="124" t="str">
        <f t="shared" si="1"/>
        <v/>
      </c>
      <c r="W9" s="124"/>
      <c r="X9" s="117" t="s">
        <v>284</v>
      </c>
      <c r="Y9" s="119"/>
      <c r="Z9" s="124"/>
      <c r="AA9" s="124"/>
      <c r="AB9" s="125" t="s">
        <v>222</v>
      </c>
      <c r="AC9" s="121"/>
    </row>
    <row r="10" spans="1:29" ht="21.75" customHeight="1">
      <c r="A10" s="117" t="s">
        <v>210</v>
      </c>
      <c r="B10" s="117" t="s">
        <v>293</v>
      </c>
      <c r="C10" s="118">
        <v>46148</v>
      </c>
      <c r="D10" s="117"/>
      <c r="E10" s="119">
        <f t="shared" ca="1" si="0"/>
        <v>42</v>
      </c>
      <c r="F10" s="120" t="s">
        <v>257</v>
      </c>
      <c r="G10" s="117" t="s">
        <v>219</v>
      </c>
      <c r="H10" s="117" t="s">
        <v>288</v>
      </c>
      <c r="I10" s="121"/>
      <c r="J10" s="117" t="s">
        <v>252</v>
      </c>
      <c r="K10" s="117" t="s">
        <v>149</v>
      </c>
      <c r="L10" s="117" t="s">
        <v>128</v>
      </c>
      <c r="M10" s="117" t="s">
        <v>112</v>
      </c>
      <c r="N10" s="117" t="s">
        <v>250</v>
      </c>
      <c r="O10" s="117" t="s">
        <v>294</v>
      </c>
      <c r="P10" s="126"/>
      <c r="Q10" s="123"/>
      <c r="R10" s="126"/>
      <c r="S10" s="123"/>
      <c r="T10" s="123"/>
      <c r="U10" s="123">
        <v>1500</v>
      </c>
      <c r="V10" s="124">
        <f t="shared" si="1"/>
        <v>1500</v>
      </c>
      <c r="W10" s="124"/>
      <c r="X10" s="117" t="s">
        <v>284</v>
      </c>
      <c r="Y10" s="119"/>
      <c r="Z10" s="124"/>
      <c r="AA10" s="124"/>
      <c r="AB10" s="125" t="s">
        <v>285</v>
      </c>
      <c r="AC10" s="121"/>
    </row>
    <row r="11" spans="1:29" ht="21.75" customHeight="1">
      <c r="A11" s="117" t="s">
        <v>210</v>
      </c>
      <c r="B11" s="117" t="s">
        <v>295</v>
      </c>
      <c r="C11" s="118">
        <v>46148</v>
      </c>
      <c r="D11" s="117"/>
      <c r="E11" s="119">
        <f t="shared" ca="1" si="0"/>
        <v>42</v>
      </c>
      <c r="F11" s="120" t="s">
        <v>257</v>
      </c>
      <c r="G11" s="117" t="s">
        <v>219</v>
      </c>
      <c r="H11" s="117" t="s">
        <v>288</v>
      </c>
      <c r="I11" s="121"/>
      <c r="J11" s="117" t="s">
        <v>252</v>
      </c>
      <c r="K11" s="117" t="s">
        <v>248</v>
      </c>
      <c r="L11" s="117" t="s">
        <v>296</v>
      </c>
      <c r="M11" s="117" t="s">
        <v>105</v>
      </c>
      <c r="N11" s="117" t="s">
        <v>226</v>
      </c>
      <c r="O11" s="117"/>
      <c r="P11" s="122"/>
      <c r="Q11" s="123"/>
      <c r="R11" s="122"/>
      <c r="S11" s="123"/>
      <c r="T11" s="123"/>
      <c r="U11" s="123"/>
      <c r="V11" s="124" t="str">
        <f t="shared" si="1"/>
        <v/>
      </c>
      <c r="W11" s="124"/>
      <c r="X11" s="117"/>
      <c r="Y11" s="119"/>
      <c r="Z11" s="124"/>
      <c r="AA11" s="124"/>
      <c r="AB11" s="125" t="s">
        <v>285</v>
      </c>
      <c r="AC11" s="121"/>
    </row>
    <row r="12" spans="1:29" ht="21.75" customHeight="1">
      <c r="A12" s="117" t="s">
        <v>210</v>
      </c>
      <c r="B12" s="117" t="s">
        <v>297</v>
      </c>
      <c r="C12" s="118">
        <v>46149</v>
      </c>
      <c r="D12" s="117"/>
      <c r="E12" s="119">
        <f t="shared" ca="1" si="0"/>
        <v>41</v>
      </c>
      <c r="F12" s="120" t="s">
        <v>257</v>
      </c>
      <c r="G12" s="117" t="s">
        <v>209</v>
      </c>
      <c r="H12" s="117" t="s">
        <v>288</v>
      </c>
      <c r="I12" s="121"/>
      <c r="J12" s="117" t="s">
        <v>101</v>
      </c>
      <c r="K12" s="117" t="s">
        <v>149</v>
      </c>
      <c r="L12" s="117" t="s">
        <v>128</v>
      </c>
      <c r="M12" s="117" t="s">
        <v>298</v>
      </c>
      <c r="N12" s="117" t="s">
        <v>250</v>
      </c>
      <c r="O12" s="117" t="s">
        <v>294</v>
      </c>
      <c r="P12" s="126"/>
      <c r="Q12" s="123"/>
      <c r="R12" s="126"/>
      <c r="S12" s="123"/>
      <c r="T12" s="123"/>
      <c r="U12" s="123"/>
      <c r="V12" s="124" t="str">
        <f t="shared" si="1"/>
        <v/>
      </c>
      <c r="W12" s="124"/>
      <c r="X12" s="117" t="s">
        <v>284</v>
      </c>
      <c r="Y12" s="119"/>
      <c r="Z12" s="124"/>
      <c r="AA12" s="124"/>
      <c r="AB12" s="125" t="s">
        <v>285</v>
      </c>
      <c r="AC12" s="121"/>
    </row>
    <row r="13" spans="1:29" ht="21.75" customHeight="1">
      <c r="A13" s="117" t="s">
        <v>210</v>
      </c>
      <c r="B13" s="117" t="s">
        <v>299</v>
      </c>
      <c r="C13" s="118">
        <v>46151</v>
      </c>
      <c r="D13" s="117"/>
      <c r="E13" s="119">
        <f t="shared" ca="1" si="0"/>
        <v>39</v>
      </c>
      <c r="F13" s="125"/>
      <c r="G13" s="117" t="s">
        <v>219</v>
      </c>
      <c r="H13" s="117" t="s">
        <v>288</v>
      </c>
      <c r="I13" s="121"/>
      <c r="J13" s="117" t="s">
        <v>129</v>
      </c>
      <c r="K13" s="117" t="s">
        <v>248</v>
      </c>
      <c r="L13" s="117" t="s">
        <v>300</v>
      </c>
      <c r="M13" s="117" t="s">
        <v>105</v>
      </c>
      <c r="N13" s="117" t="s">
        <v>250</v>
      </c>
      <c r="O13" s="117"/>
      <c r="P13" s="122"/>
      <c r="Q13" s="123"/>
      <c r="R13" s="122"/>
      <c r="S13" s="123"/>
      <c r="T13" s="123"/>
      <c r="U13" s="123"/>
      <c r="V13" s="124" t="str">
        <f t="shared" si="1"/>
        <v/>
      </c>
      <c r="W13" s="124"/>
      <c r="X13" s="117" t="s">
        <v>301</v>
      </c>
      <c r="Y13" s="119"/>
      <c r="Z13" s="124"/>
      <c r="AA13" s="124"/>
      <c r="AB13" s="125" t="s">
        <v>285</v>
      </c>
      <c r="AC13" s="121"/>
    </row>
    <row r="14" spans="1:29" ht="21.75" customHeight="1">
      <c r="A14" s="117" t="s">
        <v>210</v>
      </c>
      <c r="B14" s="117" t="s">
        <v>302</v>
      </c>
      <c r="C14" s="118">
        <v>46152</v>
      </c>
      <c r="D14" s="117"/>
      <c r="E14" s="119">
        <f t="shared" ca="1" si="0"/>
        <v>38</v>
      </c>
      <c r="F14" s="125"/>
      <c r="G14" s="117" t="s">
        <v>219</v>
      </c>
      <c r="H14" s="117" t="s">
        <v>288</v>
      </c>
      <c r="I14" s="121"/>
      <c r="J14" s="117" t="s">
        <v>107</v>
      </c>
      <c r="K14" s="117" t="s">
        <v>248</v>
      </c>
      <c r="L14" s="117" t="s">
        <v>303</v>
      </c>
      <c r="M14" s="117" t="s">
        <v>105</v>
      </c>
      <c r="N14" s="117" t="s">
        <v>214</v>
      </c>
      <c r="O14" s="117"/>
      <c r="P14" s="126"/>
      <c r="Q14" s="123"/>
      <c r="R14" s="126"/>
      <c r="S14" s="123"/>
      <c r="T14" s="123"/>
      <c r="U14" s="123"/>
      <c r="V14" s="124" t="str">
        <f t="shared" si="1"/>
        <v/>
      </c>
      <c r="W14" s="124"/>
      <c r="X14" s="117"/>
      <c r="Y14" s="119"/>
      <c r="Z14" s="124"/>
      <c r="AA14" s="124"/>
      <c r="AB14" s="125" t="s">
        <v>285</v>
      </c>
      <c r="AC14" s="121"/>
    </row>
    <row r="15" spans="1:29" ht="21.75" customHeight="1">
      <c r="A15" s="117" t="s">
        <v>210</v>
      </c>
      <c r="B15" s="117" t="s">
        <v>304</v>
      </c>
      <c r="C15" s="118">
        <v>46153</v>
      </c>
      <c r="D15" s="117"/>
      <c r="E15" s="119">
        <f t="shared" ca="1" si="0"/>
        <v>37</v>
      </c>
      <c r="F15" s="125"/>
      <c r="G15" s="117" t="s">
        <v>209</v>
      </c>
      <c r="H15" s="117" t="s">
        <v>111</v>
      </c>
      <c r="I15" s="121"/>
      <c r="J15" s="117" t="s">
        <v>107</v>
      </c>
      <c r="K15" s="117" t="s">
        <v>106</v>
      </c>
      <c r="L15" s="117" t="s">
        <v>106</v>
      </c>
      <c r="M15" s="117" t="s">
        <v>105</v>
      </c>
      <c r="N15" s="117" t="s">
        <v>226</v>
      </c>
      <c r="O15" s="117" t="s">
        <v>294</v>
      </c>
      <c r="P15" s="122"/>
      <c r="Q15" s="123"/>
      <c r="R15" s="122"/>
      <c r="S15" s="123"/>
      <c r="T15" s="123"/>
      <c r="U15" s="123"/>
      <c r="V15" s="124" t="str">
        <f t="shared" si="1"/>
        <v/>
      </c>
      <c r="W15" s="124"/>
      <c r="X15" s="117"/>
      <c r="Y15" s="119"/>
      <c r="Z15" s="124"/>
      <c r="AA15" s="124"/>
      <c r="AB15" s="125" t="s">
        <v>222</v>
      </c>
      <c r="AC15" s="121"/>
    </row>
    <row r="16" spans="1:29" ht="21.75" customHeight="1">
      <c r="A16" s="117" t="s">
        <v>210</v>
      </c>
      <c r="B16" s="117" t="s">
        <v>305</v>
      </c>
      <c r="C16" s="118">
        <v>46154</v>
      </c>
      <c r="D16" s="117"/>
      <c r="E16" s="119">
        <f t="shared" ca="1" si="0"/>
        <v>36</v>
      </c>
      <c r="F16" s="125"/>
      <c r="G16" s="117" t="s">
        <v>219</v>
      </c>
      <c r="H16" s="117" t="s">
        <v>288</v>
      </c>
      <c r="I16" s="121"/>
      <c r="J16" s="117" t="s">
        <v>252</v>
      </c>
      <c r="K16" s="117" t="s">
        <v>248</v>
      </c>
      <c r="L16" s="117" t="s">
        <v>306</v>
      </c>
      <c r="M16" s="117" t="s">
        <v>105</v>
      </c>
      <c r="N16" s="117" t="s">
        <v>226</v>
      </c>
      <c r="O16" s="117"/>
      <c r="P16" s="126"/>
      <c r="Q16" s="123"/>
      <c r="R16" s="126"/>
      <c r="S16" s="123"/>
      <c r="T16" s="123"/>
      <c r="U16" s="123"/>
      <c r="V16" s="124" t="str">
        <f t="shared" si="1"/>
        <v/>
      </c>
      <c r="W16" s="124"/>
      <c r="X16" s="117"/>
      <c r="Y16" s="119"/>
      <c r="Z16" s="124"/>
      <c r="AA16" s="124"/>
      <c r="AB16" s="125" t="s">
        <v>285</v>
      </c>
      <c r="AC16" s="121"/>
    </row>
    <row r="17" spans="1:29" ht="21.75" customHeight="1">
      <c r="A17" s="117" t="s">
        <v>210</v>
      </c>
      <c r="B17" s="117" t="s">
        <v>307</v>
      </c>
      <c r="C17" s="118">
        <v>46158</v>
      </c>
      <c r="D17" s="117"/>
      <c r="E17" s="119">
        <f t="shared" ca="1" si="0"/>
        <v>32</v>
      </c>
      <c r="F17" s="120" t="s">
        <v>257</v>
      </c>
      <c r="G17" s="117" t="s">
        <v>209</v>
      </c>
      <c r="H17" s="117" t="s">
        <v>288</v>
      </c>
      <c r="I17" s="121"/>
      <c r="J17" s="117" t="s">
        <v>101</v>
      </c>
      <c r="K17" s="117" t="s">
        <v>106</v>
      </c>
      <c r="L17" s="117" t="s">
        <v>308</v>
      </c>
      <c r="M17" s="117" t="s">
        <v>105</v>
      </c>
      <c r="N17" s="117" t="s">
        <v>226</v>
      </c>
      <c r="O17" s="117"/>
      <c r="P17" s="122"/>
      <c r="Q17" s="123"/>
      <c r="R17" s="122"/>
      <c r="S17" s="123"/>
      <c r="T17" s="123"/>
      <c r="U17" s="123">
        <v>626.82000000000005</v>
      </c>
      <c r="V17" s="124">
        <f t="shared" si="1"/>
        <v>626.82000000000005</v>
      </c>
      <c r="W17" s="124"/>
      <c r="X17" s="117" t="s">
        <v>284</v>
      </c>
      <c r="Y17" s="119"/>
      <c r="Z17" s="124"/>
      <c r="AA17" s="124"/>
      <c r="AB17" s="125" t="s">
        <v>222</v>
      </c>
      <c r="AC17" s="121"/>
    </row>
    <row r="18" spans="1:29" ht="21.75" customHeight="1">
      <c r="A18" s="117" t="s">
        <v>210</v>
      </c>
      <c r="B18" s="117" t="s">
        <v>309</v>
      </c>
      <c r="C18" s="118">
        <v>46159</v>
      </c>
      <c r="D18" s="117"/>
      <c r="E18" s="119">
        <f t="shared" ca="1" si="0"/>
        <v>31</v>
      </c>
      <c r="F18" s="125"/>
      <c r="G18" s="117" t="s">
        <v>209</v>
      </c>
      <c r="H18" s="117" t="s">
        <v>288</v>
      </c>
      <c r="I18" s="121"/>
      <c r="J18" s="117" t="s">
        <v>107</v>
      </c>
      <c r="K18" s="117" t="s">
        <v>248</v>
      </c>
      <c r="L18" s="117" t="s">
        <v>135</v>
      </c>
      <c r="M18" s="117" t="s">
        <v>105</v>
      </c>
      <c r="N18" s="117" t="s">
        <v>226</v>
      </c>
      <c r="O18" s="117"/>
      <c r="P18" s="126"/>
      <c r="Q18" s="123"/>
      <c r="R18" s="126"/>
      <c r="S18" s="123"/>
      <c r="T18" s="123"/>
      <c r="U18" s="123"/>
      <c r="V18" s="124" t="str">
        <f t="shared" si="1"/>
        <v/>
      </c>
      <c r="W18" s="124"/>
      <c r="X18" s="117"/>
      <c r="Y18" s="119"/>
      <c r="Z18" s="124"/>
      <c r="AA18" s="124"/>
      <c r="AB18" s="125" t="s">
        <v>310</v>
      </c>
      <c r="AC18" s="121"/>
    </row>
    <row r="19" spans="1:29" ht="21.75" customHeight="1">
      <c r="A19" s="117" t="s">
        <v>210</v>
      </c>
      <c r="B19" s="117" t="s">
        <v>311</v>
      </c>
      <c r="C19" s="118">
        <v>46161</v>
      </c>
      <c r="D19" s="117"/>
      <c r="E19" s="119">
        <f t="shared" ca="1" si="0"/>
        <v>29</v>
      </c>
      <c r="F19" s="125"/>
      <c r="G19" s="117" t="s">
        <v>209</v>
      </c>
      <c r="H19" s="117" t="s">
        <v>288</v>
      </c>
      <c r="I19" s="121"/>
      <c r="J19" s="117" t="s">
        <v>252</v>
      </c>
      <c r="K19" s="117" t="s">
        <v>106</v>
      </c>
      <c r="L19" s="117" t="s">
        <v>312</v>
      </c>
      <c r="M19" s="117" t="s">
        <v>105</v>
      </c>
      <c r="N19" s="117" t="s">
        <v>226</v>
      </c>
      <c r="O19" s="117"/>
      <c r="P19" s="122"/>
      <c r="Q19" s="123"/>
      <c r="R19" s="122"/>
      <c r="S19" s="123"/>
      <c r="T19" s="123"/>
      <c r="U19" s="123"/>
      <c r="V19" s="124" t="str">
        <f t="shared" si="1"/>
        <v/>
      </c>
      <c r="W19" s="124"/>
      <c r="X19" s="117"/>
      <c r="Y19" s="119"/>
      <c r="Z19" s="124"/>
      <c r="AA19" s="124"/>
      <c r="AB19" s="125" t="s">
        <v>222</v>
      </c>
      <c r="AC19" s="121"/>
    </row>
    <row r="20" spans="1:29" ht="21.75" customHeight="1">
      <c r="A20" s="117" t="s">
        <v>210</v>
      </c>
      <c r="B20" s="117" t="s">
        <v>313</v>
      </c>
      <c r="C20" s="118">
        <v>46162</v>
      </c>
      <c r="D20" s="117"/>
      <c r="E20" s="119">
        <f t="shared" ca="1" si="0"/>
        <v>28</v>
      </c>
      <c r="F20" s="120" t="s">
        <v>257</v>
      </c>
      <c r="G20" s="117" t="s">
        <v>209</v>
      </c>
      <c r="H20" s="117" t="s">
        <v>288</v>
      </c>
      <c r="I20" s="121"/>
      <c r="J20" s="117" t="s">
        <v>129</v>
      </c>
      <c r="K20" s="117" t="s">
        <v>149</v>
      </c>
      <c r="L20" s="117" t="s">
        <v>149</v>
      </c>
      <c r="M20" s="117" t="s">
        <v>314</v>
      </c>
      <c r="N20" s="117"/>
      <c r="O20" s="117" t="s">
        <v>294</v>
      </c>
      <c r="P20" s="128"/>
      <c r="Q20" s="123">
        <v>12650</v>
      </c>
      <c r="R20" s="129"/>
      <c r="S20" s="123"/>
      <c r="T20" s="123"/>
      <c r="U20" s="123"/>
      <c r="V20" s="124">
        <f t="shared" si="1"/>
        <v>12650</v>
      </c>
      <c r="W20" s="124"/>
      <c r="X20" s="117" t="s">
        <v>315</v>
      </c>
      <c r="Y20" s="119"/>
      <c r="Z20" s="124"/>
      <c r="AA20" s="124"/>
      <c r="AB20" s="125" t="s">
        <v>285</v>
      </c>
      <c r="AC20" s="121"/>
    </row>
    <row r="21" spans="1:29" ht="21.75" customHeight="1">
      <c r="A21" s="117" t="s">
        <v>210</v>
      </c>
      <c r="B21" s="117" t="s">
        <v>316</v>
      </c>
      <c r="C21" s="118">
        <v>46162</v>
      </c>
      <c r="D21" s="117"/>
      <c r="E21" s="119">
        <f t="shared" ca="1" si="0"/>
        <v>28</v>
      </c>
      <c r="F21" s="120"/>
      <c r="G21" s="117" t="s">
        <v>209</v>
      </c>
      <c r="H21" s="117" t="s">
        <v>288</v>
      </c>
      <c r="I21" s="121"/>
      <c r="J21" s="117" t="s">
        <v>107</v>
      </c>
      <c r="K21" s="117" t="s">
        <v>149</v>
      </c>
      <c r="L21" s="117" t="s">
        <v>128</v>
      </c>
      <c r="M21" s="117" t="s">
        <v>105</v>
      </c>
      <c r="N21" s="117" t="s">
        <v>226</v>
      </c>
      <c r="O21" s="117" t="s">
        <v>294</v>
      </c>
      <c r="P21" s="122"/>
      <c r="Q21" s="123"/>
      <c r="R21" s="122"/>
      <c r="S21" s="123"/>
      <c r="T21" s="123"/>
      <c r="U21" s="123"/>
      <c r="V21" s="124" t="str">
        <f t="shared" si="1"/>
        <v/>
      </c>
      <c r="W21" s="124"/>
      <c r="X21" s="117" t="s">
        <v>317</v>
      </c>
      <c r="Y21" s="119"/>
      <c r="Z21" s="124"/>
      <c r="AA21" s="124"/>
      <c r="AB21" s="125" t="s">
        <v>285</v>
      </c>
      <c r="AC21" s="121"/>
    </row>
    <row r="22" spans="1:29" ht="21.75" customHeight="1">
      <c r="A22" s="117" t="s">
        <v>210</v>
      </c>
      <c r="B22" s="117" t="s">
        <v>318</v>
      </c>
      <c r="C22" s="118">
        <v>46163</v>
      </c>
      <c r="D22" s="118">
        <v>46163</v>
      </c>
      <c r="E22" s="119">
        <f t="shared" ca="1" si="0"/>
        <v>0</v>
      </c>
      <c r="F22" s="120" t="s">
        <v>216</v>
      </c>
      <c r="G22" s="117" t="s">
        <v>219</v>
      </c>
      <c r="H22" s="117" t="s">
        <v>288</v>
      </c>
      <c r="I22" s="121"/>
      <c r="J22" s="117" t="s">
        <v>101</v>
      </c>
      <c r="K22" s="117" t="s">
        <v>106</v>
      </c>
      <c r="L22" s="117" t="s">
        <v>106</v>
      </c>
      <c r="M22" s="117" t="s">
        <v>123</v>
      </c>
      <c r="N22" s="117" t="s">
        <v>226</v>
      </c>
      <c r="O22" s="117"/>
      <c r="P22" s="126"/>
      <c r="Q22" s="123"/>
      <c r="R22" s="126"/>
      <c r="S22" s="123"/>
      <c r="T22" s="123"/>
      <c r="U22" s="123"/>
      <c r="V22" s="124" t="str">
        <f t="shared" si="1"/>
        <v/>
      </c>
      <c r="W22" s="124"/>
      <c r="X22" s="117" t="s">
        <v>319</v>
      </c>
      <c r="Y22" s="119"/>
      <c r="Z22" s="124"/>
      <c r="AA22" s="124"/>
      <c r="AB22" s="125" t="s">
        <v>222</v>
      </c>
      <c r="AC22" s="121"/>
    </row>
    <row r="23" spans="1:29" ht="21.75" customHeight="1">
      <c r="A23" s="117" t="s">
        <v>210</v>
      </c>
      <c r="B23" s="117" t="s">
        <v>320</v>
      </c>
      <c r="C23" s="118">
        <v>46163</v>
      </c>
      <c r="D23" s="117"/>
      <c r="E23" s="119">
        <f t="shared" ca="1" si="0"/>
        <v>27</v>
      </c>
      <c r="F23" s="120" t="s">
        <v>257</v>
      </c>
      <c r="G23" s="117" t="s">
        <v>209</v>
      </c>
      <c r="H23" s="117" t="s">
        <v>126</v>
      </c>
      <c r="I23" s="121"/>
      <c r="J23" s="117" t="s">
        <v>101</v>
      </c>
      <c r="K23" s="117" t="s">
        <v>248</v>
      </c>
      <c r="L23" s="117" t="s">
        <v>321</v>
      </c>
      <c r="M23" s="117" t="s">
        <v>112</v>
      </c>
      <c r="N23" s="117" t="s">
        <v>234</v>
      </c>
      <c r="O23" s="117" t="s">
        <v>322</v>
      </c>
      <c r="P23" s="122"/>
      <c r="Q23" s="123"/>
      <c r="R23" s="122"/>
      <c r="S23" s="123"/>
      <c r="T23" s="123"/>
      <c r="U23" s="123"/>
      <c r="V23" s="124" t="str">
        <f t="shared" si="1"/>
        <v/>
      </c>
      <c r="W23" s="124"/>
      <c r="X23" s="117" t="s">
        <v>323</v>
      </c>
      <c r="Y23" s="119"/>
      <c r="Z23" s="124"/>
      <c r="AA23" s="124"/>
      <c r="AB23" s="125" t="s">
        <v>285</v>
      </c>
      <c r="AC23" s="121"/>
    </row>
    <row r="24" spans="1:29" ht="21.75" customHeight="1">
      <c r="A24" s="117" t="s">
        <v>210</v>
      </c>
      <c r="B24" s="117" t="s">
        <v>139</v>
      </c>
      <c r="C24" s="118">
        <v>46164</v>
      </c>
      <c r="D24" s="117"/>
      <c r="E24" s="119">
        <f t="shared" ca="1" si="0"/>
        <v>26</v>
      </c>
      <c r="F24" s="120" t="s">
        <v>257</v>
      </c>
      <c r="G24" s="117" t="s">
        <v>209</v>
      </c>
      <c r="H24" s="117" t="s">
        <v>288</v>
      </c>
      <c r="I24" s="121"/>
      <c r="J24" s="117" t="s">
        <v>101</v>
      </c>
      <c r="K24" s="117" t="s">
        <v>106</v>
      </c>
      <c r="L24" s="117" t="s">
        <v>106</v>
      </c>
      <c r="M24" s="117" t="s">
        <v>105</v>
      </c>
      <c r="N24" s="117"/>
      <c r="O24" s="117"/>
      <c r="P24" s="126"/>
      <c r="Q24" s="123"/>
      <c r="R24" s="126"/>
      <c r="S24" s="123"/>
      <c r="T24" s="123"/>
      <c r="U24" s="123"/>
      <c r="V24" s="124" t="str">
        <f t="shared" si="1"/>
        <v/>
      </c>
      <c r="W24" s="124"/>
      <c r="X24" s="117"/>
      <c r="Y24" s="119"/>
      <c r="Z24" s="124"/>
      <c r="AA24" s="124"/>
      <c r="AB24" s="125" t="s">
        <v>222</v>
      </c>
      <c r="AC24" s="121"/>
    </row>
    <row r="25" spans="1:29" ht="21.75" customHeight="1">
      <c r="A25" s="117" t="s">
        <v>210</v>
      </c>
      <c r="B25" s="117" t="s">
        <v>147</v>
      </c>
      <c r="C25" s="118">
        <v>46166</v>
      </c>
      <c r="D25" s="117"/>
      <c r="E25" s="119">
        <f t="shared" ca="1" si="0"/>
        <v>24</v>
      </c>
      <c r="F25" s="127" t="s">
        <v>216</v>
      </c>
      <c r="G25" s="117" t="s">
        <v>219</v>
      </c>
      <c r="H25" s="117" t="s">
        <v>111</v>
      </c>
      <c r="I25" s="121"/>
      <c r="J25" s="117" t="s">
        <v>129</v>
      </c>
      <c r="K25" s="117" t="s">
        <v>149</v>
      </c>
      <c r="L25" s="117" t="s">
        <v>149</v>
      </c>
      <c r="M25" s="117" t="s">
        <v>123</v>
      </c>
      <c r="N25" s="117" t="s">
        <v>226</v>
      </c>
      <c r="O25" s="117" t="s">
        <v>294</v>
      </c>
      <c r="P25" s="122"/>
      <c r="Q25" s="123"/>
      <c r="R25" s="130"/>
      <c r="S25" s="123">
        <v>500</v>
      </c>
      <c r="T25" s="123"/>
      <c r="U25" s="123">
        <v>3000</v>
      </c>
      <c r="V25" s="124">
        <f t="shared" si="1"/>
        <v>3500</v>
      </c>
      <c r="W25" s="124"/>
      <c r="X25" s="117" t="s">
        <v>324</v>
      </c>
      <c r="Y25" s="119"/>
      <c r="Z25" s="124"/>
      <c r="AA25" s="124"/>
      <c r="AB25" s="125" t="s">
        <v>285</v>
      </c>
      <c r="AC25" s="121"/>
    </row>
    <row r="26" spans="1:29" ht="21.75" customHeight="1">
      <c r="A26" s="117" t="s">
        <v>210</v>
      </c>
      <c r="B26" s="117" t="s">
        <v>170</v>
      </c>
      <c r="C26" s="118">
        <v>46167</v>
      </c>
      <c r="D26" s="117"/>
      <c r="E26" s="119">
        <f t="shared" ca="1" si="0"/>
        <v>23</v>
      </c>
      <c r="F26" s="127" t="s">
        <v>257</v>
      </c>
      <c r="G26" s="117" t="s">
        <v>219</v>
      </c>
      <c r="H26" s="117" t="s">
        <v>126</v>
      </c>
      <c r="I26" s="121"/>
      <c r="J26" s="117" t="s">
        <v>129</v>
      </c>
      <c r="K26" s="117" t="s">
        <v>149</v>
      </c>
      <c r="L26" s="117" t="s">
        <v>149</v>
      </c>
      <c r="M26" s="117" t="s">
        <v>112</v>
      </c>
      <c r="N26" s="117" t="s">
        <v>234</v>
      </c>
      <c r="O26" s="117" t="s">
        <v>294</v>
      </c>
      <c r="P26" s="126"/>
      <c r="Q26" s="123"/>
      <c r="R26" s="126"/>
      <c r="S26" s="123">
        <v>750</v>
      </c>
      <c r="T26" s="123"/>
      <c r="U26" s="123">
        <v>1250</v>
      </c>
      <c r="V26" s="124">
        <f t="shared" si="1"/>
        <v>2000</v>
      </c>
      <c r="W26" s="124"/>
      <c r="X26" s="117" t="s">
        <v>323</v>
      </c>
      <c r="Y26" s="119"/>
      <c r="Z26" s="124"/>
      <c r="AA26" s="124"/>
      <c r="AB26" s="125" t="s">
        <v>285</v>
      </c>
      <c r="AC26" s="121"/>
    </row>
    <row r="27" spans="1:29" ht="21.75" customHeight="1">
      <c r="A27" s="121" t="s">
        <v>210</v>
      </c>
      <c r="B27" s="121" t="s">
        <v>136</v>
      </c>
      <c r="C27" s="131">
        <v>46169</v>
      </c>
      <c r="D27" s="121"/>
      <c r="E27" s="132">
        <f t="shared" ca="1" si="0"/>
        <v>21</v>
      </c>
      <c r="F27" s="121" t="s">
        <v>257</v>
      </c>
      <c r="G27" s="121" t="s">
        <v>209</v>
      </c>
      <c r="H27" s="121" t="s">
        <v>288</v>
      </c>
      <c r="I27" s="121"/>
      <c r="J27" s="121" t="s">
        <v>101</v>
      </c>
      <c r="K27" s="121" t="s">
        <v>248</v>
      </c>
      <c r="L27" s="121" t="s">
        <v>325</v>
      </c>
      <c r="M27" s="121" t="s">
        <v>105</v>
      </c>
      <c r="N27" s="121" t="s">
        <v>226</v>
      </c>
      <c r="O27" s="121"/>
      <c r="P27" s="133"/>
      <c r="Q27" s="134"/>
      <c r="R27" s="133"/>
      <c r="S27" s="134"/>
      <c r="T27" s="134"/>
      <c r="U27" s="134">
        <v>1117.8399999999999</v>
      </c>
      <c r="V27" s="135">
        <f t="shared" si="1"/>
        <v>1117.8399999999999</v>
      </c>
      <c r="W27" s="135"/>
      <c r="X27" s="121" t="s">
        <v>326</v>
      </c>
      <c r="Y27" s="132"/>
      <c r="Z27" s="135"/>
      <c r="AA27" s="135"/>
      <c r="AB27" s="125" t="s">
        <v>285</v>
      </c>
      <c r="AC27" s="121"/>
    </row>
    <row r="28" spans="1:29" ht="15" customHeight="1">
      <c r="A28" s="121" t="s">
        <v>210</v>
      </c>
      <c r="B28" s="121" t="s">
        <v>327</v>
      </c>
      <c r="C28" s="131">
        <v>46169</v>
      </c>
      <c r="D28" s="121"/>
      <c r="E28" s="132">
        <f t="shared" ca="1" si="0"/>
        <v>21</v>
      </c>
      <c r="F28" s="121"/>
      <c r="G28" s="121" t="s">
        <v>219</v>
      </c>
      <c r="H28" s="121" t="s">
        <v>288</v>
      </c>
      <c r="I28" s="121"/>
      <c r="J28" s="121" t="s">
        <v>107</v>
      </c>
      <c r="K28" s="121" t="s">
        <v>149</v>
      </c>
      <c r="L28" s="121" t="s">
        <v>128</v>
      </c>
      <c r="M28" s="121" t="s">
        <v>105</v>
      </c>
      <c r="N28" s="121" t="s">
        <v>250</v>
      </c>
      <c r="O28" s="121" t="s">
        <v>283</v>
      </c>
      <c r="P28" s="133"/>
      <c r="Q28" s="134"/>
      <c r="R28" s="133"/>
      <c r="S28" s="134"/>
      <c r="T28" s="134"/>
      <c r="U28" s="134"/>
      <c r="V28" s="135" t="str">
        <f t="shared" si="1"/>
        <v/>
      </c>
      <c r="W28" s="135"/>
      <c r="X28" s="121"/>
      <c r="Y28" s="132"/>
      <c r="Z28" s="135"/>
      <c r="AA28" s="135"/>
      <c r="AB28" s="125" t="s">
        <v>285</v>
      </c>
      <c r="AC28" s="121"/>
    </row>
    <row r="29" spans="1:29" ht="15" customHeight="1">
      <c r="A29" s="121" t="s">
        <v>210</v>
      </c>
      <c r="B29" s="121" t="s">
        <v>144</v>
      </c>
      <c r="C29" s="131">
        <v>46170</v>
      </c>
      <c r="D29" s="121"/>
      <c r="E29" s="132">
        <f t="shared" ca="1" si="0"/>
        <v>20</v>
      </c>
      <c r="F29" s="121" t="s">
        <v>257</v>
      </c>
      <c r="G29" s="121" t="s">
        <v>219</v>
      </c>
      <c r="H29" s="121" t="s">
        <v>288</v>
      </c>
      <c r="I29" s="121"/>
      <c r="J29" s="121" t="s">
        <v>101</v>
      </c>
      <c r="K29" s="121" t="s">
        <v>248</v>
      </c>
      <c r="L29" s="121" t="s">
        <v>328</v>
      </c>
      <c r="M29" s="121" t="s">
        <v>105</v>
      </c>
      <c r="N29" s="121" t="s">
        <v>250</v>
      </c>
      <c r="O29" s="121"/>
      <c r="P29" s="133"/>
      <c r="Q29" s="134"/>
      <c r="R29" s="133"/>
      <c r="S29" s="134"/>
      <c r="T29" s="134"/>
      <c r="U29" s="134"/>
      <c r="V29" s="135" t="str">
        <f t="shared" si="1"/>
        <v/>
      </c>
      <c r="W29" s="135"/>
      <c r="X29" s="121" t="s">
        <v>329</v>
      </c>
      <c r="Y29" s="132"/>
      <c r="Z29" s="135"/>
      <c r="AA29" s="135"/>
      <c r="AB29" s="125" t="s">
        <v>285</v>
      </c>
      <c r="AC29" s="121"/>
    </row>
    <row r="30" spans="1:29" ht="18" customHeight="1">
      <c r="A30" s="136" t="s">
        <v>210</v>
      </c>
      <c r="B30" s="121" t="s">
        <v>150</v>
      </c>
      <c r="C30" s="131">
        <v>46171</v>
      </c>
      <c r="D30" s="121"/>
      <c r="E30" s="132">
        <f t="shared" ca="1" si="0"/>
        <v>19</v>
      </c>
      <c r="F30" s="121" t="s">
        <v>257</v>
      </c>
      <c r="G30" s="121" t="s">
        <v>219</v>
      </c>
      <c r="H30" s="121" t="s">
        <v>111</v>
      </c>
      <c r="I30" s="121"/>
      <c r="J30" s="121" t="s">
        <v>129</v>
      </c>
      <c r="K30" s="121" t="s">
        <v>248</v>
      </c>
      <c r="L30" s="121" t="s">
        <v>330</v>
      </c>
      <c r="M30" s="121" t="s">
        <v>152</v>
      </c>
      <c r="N30" s="121" t="s">
        <v>250</v>
      </c>
      <c r="O30" s="121"/>
      <c r="P30" s="133"/>
      <c r="Q30" s="134"/>
      <c r="R30" s="133"/>
      <c r="S30" s="134"/>
      <c r="T30" s="134"/>
      <c r="U30" s="134"/>
      <c r="V30" s="135" t="str">
        <f t="shared" si="1"/>
        <v/>
      </c>
      <c r="W30" s="135"/>
      <c r="X30" s="121" t="s">
        <v>284</v>
      </c>
      <c r="Y30" s="132"/>
      <c r="Z30" s="135"/>
      <c r="AA30" s="135"/>
      <c r="AB30" s="125" t="s">
        <v>285</v>
      </c>
      <c r="AC30" s="121"/>
    </row>
    <row r="31" spans="1:29" ht="21.75" customHeight="1">
      <c r="A31" s="137" t="s">
        <v>210</v>
      </c>
      <c r="B31" s="137" t="s">
        <v>96</v>
      </c>
      <c r="C31" s="138">
        <v>46172</v>
      </c>
      <c r="D31" s="137"/>
      <c r="E31" s="139">
        <f t="shared" ca="1" si="0"/>
        <v>18</v>
      </c>
      <c r="F31" s="137" t="s">
        <v>216</v>
      </c>
      <c r="G31" s="137" t="s">
        <v>209</v>
      </c>
      <c r="H31" s="137" t="s">
        <v>288</v>
      </c>
      <c r="I31" s="121"/>
      <c r="J31" s="121" t="s">
        <v>101</v>
      </c>
      <c r="K31" s="121" t="s">
        <v>248</v>
      </c>
      <c r="L31" s="121" t="s">
        <v>100</v>
      </c>
      <c r="M31" s="121" t="s">
        <v>105</v>
      </c>
      <c r="N31" s="121" t="s">
        <v>226</v>
      </c>
      <c r="O31" s="121"/>
      <c r="P31" s="133"/>
      <c r="Q31" s="134"/>
      <c r="R31" s="133"/>
      <c r="S31" s="134"/>
      <c r="T31" s="134"/>
      <c r="U31" s="134">
        <v>2507.08</v>
      </c>
      <c r="V31" s="135">
        <f t="shared" si="1"/>
        <v>2507.08</v>
      </c>
      <c r="W31" s="135"/>
      <c r="X31" s="121" t="s">
        <v>331</v>
      </c>
      <c r="Y31" s="132"/>
      <c r="Z31" s="135"/>
      <c r="AA31" s="135"/>
      <c r="AB31" s="125" t="s">
        <v>285</v>
      </c>
      <c r="AC31" s="121"/>
    </row>
    <row r="32" spans="1:29" ht="19.5" customHeight="1">
      <c r="A32" s="140" t="s">
        <v>210</v>
      </c>
      <c r="B32" s="141" t="s">
        <v>103</v>
      </c>
      <c r="C32" s="142">
        <v>46172</v>
      </c>
      <c r="D32" s="141"/>
      <c r="E32" s="143">
        <f t="shared" ca="1" si="0"/>
        <v>18</v>
      </c>
      <c r="F32" s="141"/>
      <c r="G32" s="141" t="s">
        <v>219</v>
      </c>
      <c r="H32" s="141" t="s">
        <v>288</v>
      </c>
      <c r="I32" s="121"/>
      <c r="J32" s="121" t="s">
        <v>107</v>
      </c>
      <c r="K32" s="121" t="s">
        <v>106</v>
      </c>
      <c r="L32" s="121" t="s">
        <v>332</v>
      </c>
      <c r="M32" s="121" t="s">
        <v>105</v>
      </c>
      <c r="N32" s="121" t="s">
        <v>226</v>
      </c>
      <c r="O32" s="121" t="s">
        <v>333</v>
      </c>
      <c r="P32" s="133"/>
      <c r="Q32" s="134"/>
      <c r="R32" s="133"/>
      <c r="S32" s="134">
        <v>4000</v>
      </c>
      <c r="T32" s="134"/>
      <c r="U32" s="134"/>
      <c r="V32" s="135">
        <f t="shared" si="1"/>
        <v>4000</v>
      </c>
      <c r="W32" s="135"/>
      <c r="X32" s="121"/>
      <c r="Y32" s="132"/>
      <c r="Z32" s="135"/>
      <c r="AA32" s="135"/>
      <c r="AB32" s="125" t="s">
        <v>222</v>
      </c>
      <c r="AC32" s="121"/>
    </row>
    <row r="33" spans="1:29" ht="19.5" customHeight="1">
      <c r="A33" s="140"/>
      <c r="B33" s="141"/>
      <c r="C33" s="141"/>
      <c r="D33" s="141"/>
      <c r="E33" s="143"/>
      <c r="F33" s="141"/>
      <c r="G33" s="141"/>
      <c r="H33" s="141"/>
      <c r="I33" s="121"/>
      <c r="J33" s="121"/>
      <c r="K33" s="121"/>
      <c r="L33" s="121"/>
      <c r="M33" s="121"/>
      <c r="N33" s="121"/>
      <c r="O33" s="121"/>
      <c r="P33" s="133"/>
      <c r="Q33" s="121"/>
      <c r="R33" s="133"/>
      <c r="S33" s="121"/>
      <c r="T33" s="121"/>
      <c r="U33" s="121"/>
      <c r="V33" s="132"/>
      <c r="W33" s="132"/>
      <c r="X33" s="121"/>
      <c r="Y33" s="132"/>
      <c r="Z33" s="132"/>
      <c r="AA33" s="132"/>
      <c r="AB33" s="125"/>
      <c r="AC33" s="121"/>
    </row>
    <row r="34" spans="1:29" ht="19.5" customHeight="1">
      <c r="A34" s="140"/>
      <c r="B34" s="141"/>
      <c r="C34" s="141"/>
      <c r="D34" s="141"/>
      <c r="E34" s="143"/>
      <c r="F34" s="141"/>
      <c r="G34" s="141"/>
      <c r="H34" s="141"/>
      <c r="I34" s="121"/>
      <c r="J34" s="121"/>
      <c r="K34" s="121"/>
      <c r="L34" s="121"/>
      <c r="M34" s="121"/>
      <c r="N34" s="121"/>
      <c r="O34" s="121"/>
      <c r="P34" s="133"/>
      <c r="Q34" s="121"/>
      <c r="R34" s="133"/>
      <c r="S34" s="121"/>
      <c r="T34" s="121"/>
      <c r="U34" s="121"/>
      <c r="V34" s="132"/>
      <c r="W34" s="132"/>
      <c r="X34" s="121"/>
      <c r="Y34" s="132"/>
      <c r="Z34" s="132"/>
      <c r="AA34" s="132"/>
      <c r="AB34" s="125"/>
      <c r="AC34" s="121"/>
    </row>
    <row r="35" spans="1:29" ht="19.5" customHeight="1">
      <c r="A35" s="140"/>
      <c r="B35" s="141"/>
      <c r="C35" s="141"/>
      <c r="D35" s="141"/>
      <c r="E35" s="143"/>
      <c r="F35" s="141"/>
      <c r="G35" s="141"/>
      <c r="H35" s="141"/>
      <c r="I35" s="121"/>
      <c r="J35" s="121"/>
      <c r="K35" s="121"/>
      <c r="L35" s="121"/>
      <c r="M35" s="121"/>
      <c r="N35" s="121"/>
      <c r="O35" s="121"/>
      <c r="P35" s="133"/>
      <c r="Q35" s="121"/>
      <c r="R35" s="133"/>
      <c r="S35" s="121"/>
      <c r="T35" s="121"/>
      <c r="U35" s="121"/>
      <c r="V35" s="132"/>
      <c r="W35" s="132"/>
      <c r="X35" s="121"/>
      <c r="Y35" s="132"/>
      <c r="Z35" s="132"/>
      <c r="AA35" s="132"/>
      <c r="AB35" s="125"/>
      <c r="AC35" s="121"/>
    </row>
    <row r="36" spans="1:29" ht="19.5" customHeight="1">
      <c r="A36" s="140"/>
      <c r="B36" s="141"/>
      <c r="C36" s="141"/>
      <c r="D36" s="141"/>
      <c r="E36" s="143"/>
      <c r="F36" s="141"/>
      <c r="G36" s="141"/>
      <c r="H36" s="141"/>
      <c r="I36" s="121"/>
      <c r="J36" s="121"/>
      <c r="K36" s="121"/>
      <c r="L36" s="121"/>
      <c r="M36" s="121"/>
      <c r="N36" s="121"/>
      <c r="O36" s="121"/>
      <c r="P36" s="133"/>
      <c r="Q36" s="121"/>
      <c r="R36" s="133"/>
      <c r="S36" s="121"/>
      <c r="T36" s="121"/>
      <c r="U36" s="121"/>
      <c r="V36" s="132"/>
      <c r="W36" s="132"/>
      <c r="X36" s="121"/>
      <c r="Y36" s="132"/>
      <c r="Z36" s="132"/>
      <c r="AA36" s="132"/>
      <c r="AB36" s="125"/>
      <c r="AC36" s="121"/>
    </row>
    <row r="37" spans="1:29" ht="15" customHeight="1">
      <c r="A37" s="121"/>
      <c r="B37" s="121"/>
      <c r="C37" s="121"/>
      <c r="D37" s="121"/>
      <c r="E37" s="132"/>
      <c r="F37" s="121"/>
      <c r="G37" s="121"/>
      <c r="H37" s="121"/>
      <c r="I37" s="121"/>
      <c r="J37" s="121"/>
      <c r="K37" s="121"/>
      <c r="L37" s="121"/>
      <c r="M37" s="121"/>
      <c r="N37" s="121"/>
      <c r="O37" s="121"/>
      <c r="P37" s="133"/>
      <c r="Q37" s="121"/>
      <c r="R37" s="133"/>
      <c r="S37" s="121"/>
      <c r="T37" s="121"/>
      <c r="U37" s="121"/>
      <c r="V37" s="132"/>
      <c r="W37" s="132"/>
      <c r="X37" s="121"/>
      <c r="Y37" s="132"/>
      <c r="Z37" s="132"/>
      <c r="AA37" s="132"/>
      <c r="AB37" s="125"/>
      <c r="AC37" s="121"/>
    </row>
    <row r="38" spans="1:29" ht="15" customHeight="1">
      <c r="A38" s="121"/>
      <c r="B38" s="121"/>
      <c r="C38" s="121"/>
      <c r="D38" s="121"/>
      <c r="E38" s="132"/>
      <c r="F38" s="121"/>
      <c r="G38" s="121"/>
      <c r="H38" s="121"/>
      <c r="I38" s="121"/>
      <c r="J38" s="121"/>
      <c r="K38" s="121"/>
      <c r="L38" s="121"/>
      <c r="M38" s="121"/>
      <c r="N38" s="121"/>
      <c r="O38" s="121"/>
      <c r="P38" s="133"/>
      <c r="Q38" s="121"/>
      <c r="R38" s="133"/>
      <c r="S38" s="121"/>
      <c r="T38" s="121"/>
      <c r="U38" s="121"/>
      <c r="V38" s="132"/>
      <c r="W38" s="132"/>
      <c r="X38" s="121"/>
      <c r="Y38" s="132"/>
      <c r="Z38" s="132"/>
      <c r="AA38" s="132"/>
      <c r="AB38" s="125"/>
      <c r="AC38" s="121"/>
    </row>
    <row r="39" spans="1:29" ht="15" customHeight="1">
      <c r="A39" s="121"/>
      <c r="B39" s="121"/>
      <c r="C39" s="121"/>
      <c r="D39" s="121"/>
      <c r="E39" s="132"/>
      <c r="F39" s="121"/>
      <c r="G39" s="121"/>
      <c r="H39" s="121"/>
      <c r="I39" s="121"/>
      <c r="J39" s="121"/>
      <c r="K39" s="121"/>
      <c r="L39" s="121"/>
      <c r="M39" s="121"/>
      <c r="N39" s="121"/>
      <c r="O39" s="121"/>
      <c r="P39" s="133"/>
      <c r="Q39" s="121"/>
      <c r="R39" s="133"/>
      <c r="S39" s="121"/>
      <c r="T39" s="121"/>
      <c r="U39" s="121"/>
      <c r="V39" s="132"/>
      <c r="W39" s="132"/>
      <c r="X39" s="121"/>
      <c r="Y39" s="132"/>
      <c r="Z39" s="132"/>
      <c r="AA39" s="132"/>
      <c r="AB39" s="125"/>
      <c r="AC39" s="121"/>
    </row>
    <row r="40" spans="1:29" ht="15" customHeight="1">
      <c r="A40" s="121"/>
      <c r="B40" s="121"/>
      <c r="C40" s="121"/>
      <c r="D40" s="121"/>
      <c r="E40" s="132"/>
      <c r="F40" s="121"/>
      <c r="G40" s="121"/>
      <c r="H40" s="121"/>
      <c r="I40" s="121"/>
      <c r="J40" s="121"/>
      <c r="K40" s="121"/>
      <c r="L40" s="121"/>
      <c r="M40" s="121"/>
      <c r="N40" s="121"/>
      <c r="O40" s="121"/>
      <c r="P40" s="133"/>
      <c r="Q40" s="121"/>
      <c r="R40" s="133"/>
      <c r="S40" s="121"/>
      <c r="T40" s="121"/>
      <c r="U40" s="121"/>
      <c r="V40" s="132"/>
      <c r="W40" s="132"/>
      <c r="X40" s="121"/>
      <c r="Y40" s="132"/>
      <c r="Z40" s="132"/>
      <c r="AA40" s="132"/>
      <c r="AB40" s="125"/>
      <c r="AC40" s="121"/>
    </row>
    <row r="41" spans="1:29" ht="15" customHeight="1">
      <c r="A41" s="121"/>
      <c r="B41" s="121"/>
      <c r="C41" s="121"/>
      <c r="D41" s="121"/>
      <c r="E41" s="132"/>
      <c r="F41" s="121"/>
      <c r="G41" s="121"/>
      <c r="H41" s="121"/>
      <c r="I41" s="121"/>
      <c r="J41" s="121"/>
      <c r="K41" s="121"/>
      <c r="L41" s="121"/>
      <c r="M41" s="121"/>
      <c r="N41" s="121"/>
      <c r="O41" s="121"/>
      <c r="P41" s="133"/>
      <c r="Q41" s="121"/>
      <c r="R41" s="133"/>
      <c r="S41" s="121"/>
      <c r="T41" s="121"/>
      <c r="U41" s="121"/>
      <c r="V41" s="132"/>
      <c r="W41" s="132"/>
      <c r="X41" s="121"/>
      <c r="Y41" s="132"/>
      <c r="Z41" s="132"/>
      <c r="AA41" s="132"/>
      <c r="AB41" s="125"/>
      <c r="AC41" s="121"/>
    </row>
    <row r="42" spans="1:29" ht="15" customHeight="1">
      <c r="A42" s="121"/>
      <c r="B42" s="121"/>
      <c r="C42" s="121"/>
      <c r="D42" s="121"/>
      <c r="E42" s="132"/>
      <c r="F42" s="121"/>
      <c r="G42" s="121"/>
      <c r="H42" s="121"/>
      <c r="I42" s="121"/>
      <c r="J42" s="121"/>
      <c r="K42" s="121"/>
      <c r="L42" s="121"/>
      <c r="M42" s="121"/>
      <c r="N42" s="121"/>
      <c r="O42" s="121"/>
      <c r="P42" s="133"/>
      <c r="Q42" s="121"/>
      <c r="R42" s="133"/>
      <c r="S42" s="121"/>
      <c r="T42" s="121"/>
      <c r="U42" s="121"/>
      <c r="V42" s="132"/>
      <c r="W42" s="132"/>
      <c r="X42" s="121"/>
      <c r="Y42" s="132"/>
      <c r="Z42" s="132"/>
      <c r="AA42" s="132"/>
      <c r="AB42" s="125"/>
      <c r="AC42" s="121"/>
    </row>
    <row r="43" spans="1:29" ht="15" customHeight="1">
      <c r="A43" s="121"/>
      <c r="B43" s="121"/>
      <c r="C43" s="121"/>
      <c r="D43" s="121"/>
      <c r="E43" s="132"/>
      <c r="F43" s="121"/>
      <c r="G43" s="121"/>
      <c r="H43" s="121"/>
      <c r="I43" s="121"/>
      <c r="J43" s="121"/>
      <c r="K43" s="121"/>
      <c r="L43" s="121"/>
      <c r="M43" s="121"/>
      <c r="N43" s="121"/>
      <c r="O43" s="121"/>
      <c r="P43" s="133"/>
      <c r="Q43" s="121"/>
      <c r="R43" s="133"/>
      <c r="S43" s="121"/>
      <c r="T43" s="121"/>
      <c r="U43" s="121"/>
      <c r="V43" s="132"/>
      <c r="W43" s="132"/>
      <c r="X43" s="121"/>
      <c r="Y43" s="132"/>
      <c r="Z43" s="132"/>
      <c r="AA43" s="132"/>
      <c r="AB43" s="125"/>
      <c r="AC43" s="121"/>
    </row>
    <row r="44" spans="1:29" ht="15" customHeight="1">
      <c r="A44" s="121"/>
      <c r="B44" s="121"/>
      <c r="C44" s="121"/>
      <c r="D44" s="121"/>
      <c r="E44" s="132"/>
      <c r="F44" s="121"/>
      <c r="G44" s="121"/>
      <c r="H44" s="121"/>
      <c r="I44" s="121"/>
      <c r="J44" s="121"/>
      <c r="K44" s="121"/>
      <c r="L44" s="121"/>
      <c r="M44" s="121"/>
      <c r="N44" s="121"/>
      <c r="O44" s="121"/>
      <c r="P44" s="133"/>
      <c r="Q44" s="121"/>
      <c r="R44" s="133"/>
      <c r="S44" s="121"/>
      <c r="T44" s="121"/>
      <c r="U44" s="121"/>
      <c r="V44" s="132"/>
      <c r="W44" s="132"/>
      <c r="X44" s="121"/>
      <c r="Y44" s="132"/>
      <c r="Z44" s="132"/>
      <c r="AA44" s="132"/>
      <c r="AB44" s="125"/>
      <c r="AC44" s="121"/>
    </row>
    <row r="45" spans="1:29" ht="15" customHeight="1">
      <c r="A45" s="121"/>
      <c r="B45" s="121"/>
      <c r="C45" s="121"/>
      <c r="D45" s="121"/>
      <c r="E45" s="132"/>
      <c r="F45" s="121"/>
      <c r="G45" s="121"/>
      <c r="H45" s="121"/>
      <c r="I45" s="121"/>
      <c r="J45" s="121"/>
      <c r="K45" s="121"/>
      <c r="L45" s="121"/>
      <c r="M45" s="121"/>
      <c r="N45" s="121"/>
      <c r="O45" s="121"/>
      <c r="P45" s="133"/>
      <c r="Q45" s="121"/>
      <c r="R45" s="133"/>
      <c r="S45" s="121"/>
      <c r="T45" s="121"/>
      <c r="U45" s="121"/>
      <c r="V45" s="132"/>
      <c r="W45" s="132"/>
      <c r="X45" s="121"/>
      <c r="Y45" s="132"/>
      <c r="Z45" s="132"/>
      <c r="AA45" s="132"/>
      <c r="AB45" s="125"/>
      <c r="AC45" s="121"/>
    </row>
    <row r="46" spans="1:29" ht="15" customHeight="1">
      <c r="A46" s="121"/>
      <c r="B46" s="121"/>
      <c r="C46" s="121"/>
      <c r="D46" s="121"/>
      <c r="E46" s="132"/>
      <c r="F46" s="121"/>
      <c r="G46" s="121"/>
      <c r="H46" s="121"/>
      <c r="I46" s="121"/>
      <c r="J46" s="121"/>
      <c r="K46" s="121"/>
      <c r="L46" s="121"/>
      <c r="M46" s="121"/>
      <c r="N46" s="121"/>
      <c r="O46" s="121"/>
      <c r="P46" s="133"/>
      <c r="Q46" s="121"/>
      <c r="R46" s="133"/>
      <c r="S46" s="121"/>
      <c r="T46" s="121"/>
      <c r="U46" s="121"/>
      <c r="V46" s="132"/>
      <c r="W46" s="132"/>
      <c r="X46" s="121"/>
      <c r="Y46" s="132"/>
      <c r="Z46" s="132"/>
      <c r="AA46" s="132"/>
      <c r="AB46" s="125"/>
      <c r="AC46" s="121"/>
    </row>
    <row r="47" spans="1:29" ht="15" customHeight="1">
      <c r="A47" s="121"/>
      <c r="B47" s="121"/>
      <c r="C47" s="121"/>
      <c r="D47" s="121"/>
      <c r="E47" s="132"/>
      <c r="F47" s="121"/>
      <c r="G47" s="121"/>
      <c r="H47" s="121"/>
      <c r="I47" s="121"/>
      <c r="J47" s="121"/>
      <c r="K47" s="121"/>
      <c r="L47" s="121"/>
      <c r="M47" s="121"/>
      <c r="N47" s="121"/>
      <c r="O47" s="121"/>
      <c r="P47" s="133"/>
      <c r="Q47" s="121"/>
      <c r="R47" s="133"/>
      <c r="S47" s="121"/>
      <c r="T47" s="121"/>
      <c r="U47" s="121"/>
      <c r="V47" s="132"/>
      <c r="W47" s="132"/>
      <c r="X47" s="121"/>
      <c r="Y47" s="132"/>
      <c r="Z47" s="132"/>
      <c r="AA47" s="132"/>
      <c r="AB47" s="125"/>
      <c r="AC47" s="121"/>
    </row>
    <row r="48" spans="1:29" ht="15" customHeight="1">
      <c r="A48" s="121"/>
      <c r="B48" s="121"/>
      <c r="C48" s="121"/>
      <c r="D48" s="121"/>
      <c r="E48" s="132"/>
      <c r="F48" s="121"/>
      <c r="G48" s="121"/>
      <c r="H48" s="121"/>
      <c r="I48" s="121"/>
      <c r="J48" s="121"/>
      <c r="K48" s="121"/>
      <c r="L48" s="121"/>
      <c r="M48" s="121"/>
      <c r="N48" s="121"/>
      <c r="O48" s="121"/>
      <c r="P48" s="133"/>
      <c r="Q48" s="121"/>
      <c r="R48" s="133"/>
      <c r="S48" s="121"/>
      <c r="T48" s="121"/>
      <c r="U48" s="121"/>
      <c r="V48" s="132"/>
      <c r="W48" s="132"/>
      <c r="X48" s="121"/>
      <c r="Y48" s="132"/>
      <c r="Z48" s="132"/>
      <c r="AA48" s="132"/>
      <c r="AB48" s="125"/>
      <c r="AC48" s="121"/>
    </row>
    <row r="49" spans="1:39" ht="15" customHeight="1">
      <c r="A49" s="121"/>
      <c r="B49" s="121"/>
      <c r="C49" s="121"/>
      <c r="D49" s="121"/>
      <c r="E49" s="132"/>
      <c r="F49" s="121"/>
      <c r="G49" s="121"/>
      <c r="H49" s="121"/>
      <c r="I49" s="121"/>
      <c r="J49" s="121"/>
      <c r="K49" s="121"/>
      <c r="L49" s="121"/>
      <c r="M49" s="121"/>
      <c r="N49" s="121"/>
      <c r="O49" s="121"/>
      <c r="P49" s="133"/>
      <c r="Q49" s="121"/>
      <c r="R49" s="133"/>
      <c r="S49" s="121"/>
      <c r="T49" s="121"/>
      <c r="U49" s="121"/>
      <c r="V49" s="132"/>
      <c r="W49" s="132"/>
      <c r="X49" s="121"/>
      <c r="Y49" s="132"/>
      <c r="Z49" s="132"/>
      <c r="AA49" s="132"/>
      <c r="AB49" s="125"/>
      <c r="AC49" s="121"/>
    </row>
    <row r="50" spans="1:39" ht="15" customHeight="1">
      <c r="A50" s="121"/>
      <c r="B50" s="121"/>
      <c r="C50" s="121"/>
      <c r="D50" s="121"/>
      <c r="E50" s="132"/>
      <c r="F50" s="121"/>
      <c r="G50" s="121"/>
      <c r="H50" s="121"/>
      <c r="I50" s="121"/>
      <c r="J50" s="121"/>
      <c r="K50" s="121"/>
      <c r="L50" s="121"/>
      <c r="M50" s="121"/>
      <c r="N50" s="121"/>
      <c r="O50" s="121"/>
      <c r="P50" s="133"/>
      <c r="Q50" s="121"/>
      <c r="R50" s="133"/>
      <c r="S50" s="121"/>
      <c r="T50" s="121"/>
      <c r="U50" s="121"/>
      <c r="V50" s="132"/>
      <c r="W50" s="132"/>
      <c r="X50" s="121"/>
      <c r="Y50" s="132"/>
      <c r="Z50" s="132"/>
      <c r="AA50" s="132"/>
      <c r="AB50" s="125"/>
      <c r="AC50" s="121"/>
    </row>
    <row r="51" spans="1:39" ht="15" customHeight="1">
      <c r="A51" s="121"/>
      <c r="B51" s="121"/>
      <c r="C51" s="121"/>
      <c r="D51" s="121"/>
      <c r="E51" s="132"/>
      <c r="F51" s="121"/>
      <c r="G51" s="121"/>
      <c r="H51" s="121"/>
      <c r="I51" s="121"/>
      <c r="J51" s="121"/>
      <c r="K51" s="121"/>
      <c r="L51" s="121"/>
      <c r="M51" s="121"/>
      <c r="N51" s="121"/>
      <c r="O51" s="121"/>
      <c r="P51" s="133"/>
      <c r="Q51" s="121"/>
      <c r="R51" s="133"/>
      <c r="S51" s="121"/>
      <c r="T51" s="121"/>
      <c r="U51" s="121"/>
      <c r="V51" s="132"/>
      <c r="W51" s="132"/>
      <c r="X51" s="121"/>
      <c r="Y51" s="132"/>
      <c r="Z51" s="132"/>
      <c r="AA51" s="132"/>
      <c r="AB51" s="125"/>
      <c r="AC51" s="121"/>
    </row>
    <row r="52" spans="1:39" ht="15" customHeight="1">
      <c r="A52" s="121"/>
      <c r="B52" s="121"/>
      <c r="C52" s="121"/>
      <c r="D52" s="121"/>
      <c r="E52" s="132"/>
      <c r="F52" s="121"/>
      <c r="G52" s="121"/>
      <c r="H52" s="121"/>
      <c r="I52" s="121"/>
      <c r="J52" s="121"/>
      <c r="K52" s="121"/>
      <c r="L52" s="121"/>
      <c r="M52" s="121"/>
      <c r="N52" s="121"/>
      <c r="O52" s="121"/>
      <c r="P52" s="133"/>
      <c r="Q52" s="121"/>
      <c r="R52" s="133"/>
      <c r="S52" s="121"/>
      <c r="T52" s="121"/>
      <c r="U52" s="121"/>
      <c r="V52" s="132"/>
      <c r="W52" s="132"/>
      <c r="X52" s="121"/>
      <c r="Y52" s="132"/>
      <c r="Z52" s="132"/>
      <c r="AA52" s="132"/>
      <c r="AB52" s="125"/>
      <c r="AC52" s="121"/>
    </row>
    <row r="53" spans="1:39" ht="15" customHeight="1">
      <c r="A53" s="121"/>
      <c r="B53" s="121"/>
      <c r="C53" s="121"/>
      <c r="D53" s="121"/>
      <c r="E53" s="132"/>
      <c r="F53" s="121"/>
      <c r="G53" s="121"/>
      <c r="H53" s="121"/>
      <c r="I53" s="121"/>
      <c r="J53" s="121"/>
      <c r="K53" s="121"/>
      <c r="L53" s="121"/>
      <c r="M53" s="121"/>
      <c r="N53" s="121"/>
      <c r="O53" s="121"/>
      <c r="P53" s="133"/>
      <c r="Q53" s="121"/>
      <c r="R53" s="133"/>
      <c r="S53" s="121"/>
      <c r="T53" s="121"/>
      <c r="U53" s="121"/>
      <c r="V53" s="132"/>
      <c r="W53" s="132"/>
      <c r="X53" s="121"/>
      <c r="Y53" s="132"/>
      <c r="Z53" s="132"/>
      <c r="AA53" s="132"/>
      <c r="AB53" s="125"/>
      <c r="AC53" s="121"/>
    </row>
    <row r="54" spans="1:39" ht="15" customHeight="1">
      <c r="A54" s="121"/>
      <c r="B54" s="121"/>
      <c r="C54" s="121"/>
      <c r="D54" s="121"/>
      <c r="E54" s="132"/>
      <c r="F54" s="121"/>
      <c r="G54" s="121"/>
      <c r="H54" s="121"/>
      <c r="I54" s="121"/>
      <c r="J54" s="121"/>
      <c r="K54" s="121"/>
      <c r="L54" s="121"/>
      <c r="M54" s="121"/>
      <c r="N54" s="121"/>
      <c r="O54" s="121"/>
      <c r="P54" s="133"/>
      <c r="Q54" s="121"/>
      <c r="R54" s="133"/>
      <c r="S54" s="121"/>
      <c r="T54" s="121"/>
      <c r="U54" s="121"/>
      <c r="V54" s="132"/>
      <c r="W54" s="132"/>
      <c r="X54" s="121"/>
      <c r="Y54" s="132"/>
      <c r="Z54" s="132"/>
      <c r="AA54" s="132"/>
      <c r="AB54" s="125"/>
      <c r="AC54" s="121"/>
    </row>
    <row r="55" spans="1:39" ht="15" customHeight="1">
      <c r="A55" s="121"/>
      <c r="B55" s="121"/>
      <c r="C55" s="121"/>
      <c r="D55" s="121"/>
      <c r="E55" s="132"/>
      <c r="F55" s="121"/>
      <c r="G55" s="121"/>
      <c r="H55" s="121"/>
      <c r="I55" s="121"/>
      <c r="J55" s="121"/>
      <c r="K55" s="121"/>
      <c r="L55" s="121"/>
      <c r="M55" s="121"/>
      <c r="N55" s="121"/>
      <c r="O55" s="121"/>
      <c r="P55" s="133"/>
      <c r="Q55" s="121"/>
      <c r="R55" s="133"/>
      <c r="S55" s="121"/>
      <c r="T55" s="121"/>
      <c r="U55" s="121"/>
      <c r="V55" s="132"/>
      <c r="W55" s="132"/>
      <c r="X55" s="121"/>
      <c r="Y55" s="132"/>
      <c r="Z55" s="132"/>
      <c r="AA55" s="132"/>
      <c r="AB55" s="125"/>
      <c r="AC55" s="121"/>
    </row>
    <row r="56" spans="1:39" ht="15" customHeight="1">
      <c r="A56" s="121"/>
      <c r="B56" s="121"/>
      <c r="C56" s="121"/>
      <c r="D56" s="121"/>
      <c r="E56" s="132"/>
      <c r="F56" s="121"/>
      <c r="G56" s="121"/>
      <c r="H56" s="121"/>
      <c r="I56" s="121"/>
      <c r="J56" s="121"/>
      <c r="K56" s="121"/>
      <c r="L56" s="121"/>
      <c r="M56" s="121"/>
      <c r="N56" s="121"/>
      <c r="O56" s="121"/>
      <c r="P56" s="133"/>
      <c r="Q56" s="121"/>
      <c r="R56" s="133"/>
      <c r="S56" s="121"/>
      <c r="T56" s="121"/>
      <c r="U56" s="121"/>
      <c r="V56" s="132"/>
      <c r="W56" s="132"/>
      <c r="X56" s="121"/>
      <c r="Y56" s="132"/>
      <c r="Z56" s="132"/>
      <c r="AA56" s="132"/>
      <c r="AB56" s="125"/>
      <c r="AC56" s="121"/>
    </row>
    <row r="57" spans="1:39" ht="15" customHeight="1">
      <c r="A57" s="121"/>
      <c r="B57" s="121"/>
      <c r="C57" s="121"/>
      <c r="D57" s="121"/>
      <c r="E57" s="132"/>
      <c r="F57" s="121"/>
      <c r="G57" s="121"/>
      <c r="H57" s="121"/>
      <c r="I57" s="121"/>
      <c r="J57" s="121"/>
      <c r="K57" s="121"/>
      <c r="L57" s="121"/>
      <c r="M57" s="121"/>
      <c r="N57" s="121"/>
      <c r="O57" s="121"/>
      <c r="P57" s="133"/>
      <c r="Q57" s="121"/>
      <c r="R57" s="133"/>
      <c r="S57" s="121"/>
      <c r="T57" s="121"/>
      <c r="U57" s="121"/>
      <c r="V57" s="132"/>
      <c r="W57" s="132"/>
      <c r="X57" s="121"/>
      <c r="Y57" s="132"/>
      <c r="Z57" s="132"/>
      <c r="AA57" s="132"/>
      <c r="AB57" s="125"/>
      <c r="AC57" s="121"/>
    </row>
    <row r="58" spans="1:39" ht="15" customHeight="1">
      <c r="A58" s="121"/>
      <c r="B58" s="121"/>
      <c r="C58" s="121"/>
      <c r="D58" s="121"/>
      <c r="E58" s="132"/>
      <c r="F58" s="121"/>
      <c r="G58" s="121"/>
      <c r="H58" s="121"/>
      <c r="I58" s="121"/>
      <c r="J58" s="121"/>
      <c r="K58" s="121"/>
      <c r="L58" s="121"/>
      <c r="M58" s="121"/>
      <c r="N58" s="121"/>
      <c r="O58" s="121"/>
      <c r="P58" s="133"/>
      <c r="Q58" s="121"/>
      <c r="R58" s="133"/>
      <c r="S58" s="121"/>
      <c r="T58" s="121"/>
      <c r="U58" s="121"/>
      <c r="V58" s="132"/>
      <c r="W58" s="132"/>
      <c r="X58" s="121"/>
      <c r="Y58" s="132"/>
      <c r="Z58" s="132"/>
      <c r="AA58" s="132"/>
      <c r="AB58" s="125"/>
      <c r="AC58" s="121"/>
    </row>
    <row r="59" spans="1:39" ht="15" customHeight="1">
      <c r="A59" s="121"/>
      <c r="B59" s="121"/>
      <c r="C59" s="121"/>
      <c r="D59" s="121"/>
      <c r="E59" s="132"/>
      <c r="F59" s="121"/>
      <c r="G59" s="121"/>
      <c r="H59" s="121"/>
      <c r="I59" s="121"/>
      <c r="J59" s="121"/>
      <c r="K59" s="121"/>
      <c r="L59" s="121"/>
      <c r="M59" s="121"/>
      <c r="N59" s="121"/>
      <c r="O59" s="121"/>
      <c r="P59" s="133"/>
      <c r="Q59" s="121"/>
      <c r="R59" s="133"/>
      <c r="S59" s="121"/>
      <c r="T59" s="121"/>
      <c r="U59" s="121"/>
      <c r="V59" s="132"/>
      <c r="W59" s="132"/>
      <c r="X59" s="121"/>
      <c r="Y59" s="132"/>
      <c r="Z59" s="132"/>
      <c r="AA59" s="132"/>
      <c r="AB59" s="125"/>
      <c r="AC59" s="121"/>
    </row>
    <row r="60" spans="1:39" ht="15" customHeight="1">
      <c r="A60" s="121"/>
      <c r="B60" s="121"/>
      <c r="C60" s="121"/>
      <c r="D60" s="121"/>
      <c r="E60" s="132"/>
      <c r="F60" s="121"/>
      <c r="G60" s="121"/>
      <c r="H60" s="121"/>
      <c r="I60" s="121"/>
      <c r="J60" s="121"/>
      <c r="K60" s="121"/>
      <c r="L60" s="121"/>
      <c r="M60" s="121"/>
      <c r="N60" s="121"/>
      <c r="O60" s="121"/>
      <c r="P60" s="133"/>
      <c r="Q60" s="121"/>
      <c r="R60" s="133"/>
      <c r="S60" s="121"/>
      <c r="T60" s="121"/>
      <c r="U60" s="121"/>
      <c r="V60" s="132"/>
      <c r="W60" s="132"/>
      <c r="X60" s="121"/>
      <c r="Y60" s="132"/>
      <c r="Z60" s="132"/>
      <c r="AA60" s="132"/>
      <c r="AB60" s="125"/>
      <c r="AC60" s="121"/>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sheetData>
  <mergeCells count="4">
    <mergeCell ref="A1:AA1"/>
    <mergeCell ref="A2:E2"/>
    <mergeCell ref="G2:J2"/>
    <mergeCell ref="A3:Z3"/>
  </mergeCells>
  <conditionalFormatting sqref="B5:B60">
    <cfRule type="expression" dxfId="30" priority="2">
      <formula>AND($B5&lt;&gt;"",COUNTIF(DO_NOT_READMIT,$B5)&gt;0)</formula>
    </cfRule>
  </conditionalFormatting>
  <conditionalFormatting sqref="M5:M60">
    <cfRule type="expression" dxfId="29" priority="3">
      <formula>COUNTIF(NON_CONTRACTED,$M5)&gt;0</formula>
    </cfRule>
  </conditionalFormatting>
  <dataValidations count="8">
    <dataValidation type="list" allowBlank="1" sqref="G5:G60" xr:uid="{00000000-0002-0000-0600-000000000000}">
      <formula1>FACILITY</formula1>
      <formula2>0</formula2>
    </dataValidation>
    <dataValidation type="list" allowBlank="1" sqref="H5:I60" xr:uid="{00000000-0002-0000-0600-000001000000}">
      <formula1>LOC</formula1>
      <formula2>0</formula2>
    </dataValidation>
    <dataValidation type="list" allowBlank="1" sqref="J5:J60" xr:uid="{00000000-0002-0000-0600-000002000000}">
      <formula1>REPS</formula1>
      <formula2>0</formula2>
    </dataValidation>
    <dataValidation type="list" allowBlank="1" sqref="K5:K60" xr:uid="{00000000-0002-0000-0600-000003000000}">
      <formula1>REF_CAT</formula1>
      <formula2>0</formula2>
    </dataValidation>
    <dataValidation type="list" allowBlank="1" sqref="M5:M60" xr:uid="{00000000-0002-0000-0600-000004000000}">
      <formula1>INSURANCE_OK</formula1>
      <formula2>0</formula2>
    </dataValidation>
    <dataValidation type="list" allowBlank="1" sqref="N5:N60" xr:uid="{00000000-0002-0000-0600-000005000000}">
      <formula1>INS_TYPE</formula1>
      <formula2>0</formula2>
    </dataValidation>
    <dataValidation type="list" allowBlank="1" sqref="AB5:AB60" xr:uid="{00000000-0002-0000-0600-000006000000}">
      <formula1>"New,Alumni,Split"</formula1>
      <formula2>0</formula2>
    </dataValidation>
    <dataValidation type="list" allowBlank="1" sqref="F5:F60" xr:uid="{00000000-0002-0000-0600-000007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8860B"/>
  </sheetPr>
  <dimension ref="A1:AM75"/>
  <sheetViews>
    <sheetView showGridLines="0" zoomScale="140" zoomScaleNormal="140" workbookViewId="0">
      <pane xSplit="2" ySplit="4" topLeftCell="M12" activePane="bottomRight" state="frozen"/>
      <selection pane="bottomRight" activeCell="U16" sqref="U16"/>
      <selection pane="bottomLeft" activeCell="A12" sqref="A12"/>
      <selection pane="topRight" activeCell="M1" sqref="M1"/>
    </sheetView>
  </sheetViews>
  <sheetFormatPr defaultColWidth="0" defaultRowHeight="15" zeroHeight="1"/>
  <cols>
    <col min="1" max="1" width="4" customWidth="1"/>
    <col min="2" max="2" width="24" customWidth="1"/>
    <col min="3" max="3" width="12" customWidth="1"/>
    <col min="4" max="4" width="13"/>
    <col min="5" max="5" width="7" customWidth="1"/>
    <col min="6" max="6" width="14" customWidth="1"/>
    <col min="7" max="7" width="10" customWidth="1"/>
    <col min="8" max="8" width="13"/>
    <col min="9" max="9" width="8" customWidth="1"/>
    <col min="10" max="10" width="9" customWidth="1"/>
    <col min="11" max="11" width="23" customWidth="1"/>
    <col min="12" max="12" width="36" customWidth="1"/>
    <col min="13" max="13" width="16" customWidth="1"/>
    <col min="14" max="14" width="14" customWidth="1"/>
    <col min="15" max="15" width="22" customWidth="1"/>
    <col min="16" max="16" width="10" customWidth="1"/>
    <col min="17" max="17" width="13"/>
    <col min="18" max="18" width="16" customWidth="1"/>
    <col min="19" max="19" width="12" customWidth="1"/>
    <col min="20" max="20" width="10" customWidth="1"/>
    <col min="21" max="21" width="15" customWidth="1"/>
    <col min="22" max="22" width="12" customWidth="1"/>
    <col min="23" max="23" width="32" customWidth="1"/>
    <col min="24" max="24" width="46" customWidth="1"/>
    <col min="25" max="25" width="13"/>
    <col min="26" max="26" width="10" customWidth="1"/>
    <col min="27" max="27" width="8.7109375" customWidth="1"/>
    <col min="28" max="29" width="11" hidden="1" customWidth="1"/>
    <col min="30" max="16384" width="13" hidden="1"/>
  </cols>
  <sheetData>
    <row r="1" spans="1:29" ht="25.5" customHeight="1">
      <c r="A1" s="306" t="s">
        <v>334</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row>
    <row r="2" spans="1:29" ht="15.75" customHeight="1">
      <c r="A2" s="307" t="str">
        <f>COUNTA(B5:B60)&amp;" Admits"</f>
        <v>13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9.7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8.5" customHeight="1">
      <c r="A5" s="117" t="s">
        <v>210</v>
      </c>
      <c r="B5" s="117" t="s">
        <v>155</v>
      </c>
      <c r="C5" s="118">
        <v>46175</v>
      </c>
      <c r="D5" s="117"/>
      <c r="E5" s="119">
        <f t="shared" ref="E5:E13" ca="1" si="0">IF(C5="","",IF(D5="",INT(TODAY())-INT(C5),MAX(0,INT(D5)-INT(C5))))</f>
        <v>15</v>
      </c>
      <c r="F5" s="120" t="s">
        <v>257</v>
      </c>
      <c r="G5" s="117" t="s">
        <v>219</v>
      </c>
      <c r="H5" s="117" t="s">
        <v>288</v>
      </c>
      <c r="I5" s="121"/>
      <c r="J5" s="117" t="s">
        <v>101</v>
      </c>
      <c r="K5" s="117" t="s">
        <v>248</v>
      </c>
      <c r="L5" s="117" t="s">
        <v>157</v>
      </c>
      <c r="M5" s="117" t="s">
        <v>105</v>
      </c>
      <c r="N5" s="117" t="s">
        <v>226</v>
      </c>
      <c r="O5" s="117"/>
      <c r="P5" s="122"/>
      <c r="Q5" s="123"/>
      <c r="R5" s="122"/>
      <c r="S5" s="123">
        <v>750</v>
      </c>
      <c r="T5" s="123"/>
      <c r="U5" s="123"/>
      <c r="V5" s="124">
        <f t="shared" ref="V5:V17" si="1">IFERROR(IF(SUM($Q5,$R5,$S5,$T5,$U5)&gt;0,SUM($Q5,$R5,$S5,$T5,$U5),""),"")</f>
        <v>750</v>
      </c>
      <c r="W5" s="124"/>
      <c r="X5" s="117" t="s">
        <v>284</v>
      </c>
      <c r="Y5" s="119"/>
      <c r="Z5" s="124"/>
      <c r="AA5" s="124"/>
      <c r="AB5" s="125" t="s">
        <v>285</v>
      </c>
      <c r="AC5" s="146"/>
    </row>
    <row r="6" spans="1:29" ht="28.5" customHeight="1">
      <c r="A6" s="117" t="s">
        <v>210</v>
      </c>
      <c r="B6" s="117" t="s">
        <v>335</v>
      </c>
      <c r="C6" s="118">
        <v>46178</v>
      </c>
      <c r="D6" s="117"/>
      <c r="E6" s="119">
        <f t="shared" ca="1" si="0"/>
        <v>12</v>
      </c>
      <c r="F6" s="120" t="s">
        <v>257</v>
      </c>
      <c r="G6" s="117" t="s">
        <v>219</v>
      </c>
      <c r="H6" s="117" t="s">
        <v>288</v>
      </c>
      <c r="I6" s="121"/>
      <c r="J6" s="117" t="s">
        <v>101</v>
      </c>
      <c r="K6" s="117" t="s">
        <v>248</v>
      </c>
      <c r="L6" s="117" t="s">
        <v>336</v>
      </c>
      <c r="M6" s="117" t="s">
        <v>161</v>
      </c>
      <c r="N6" s="117" t="s">
        <v>226</v>
      </c>
      <c r="O6" s="117"/>
      <c r="P6" s="122"/>
      <c r="Q6" s="123"/>
      <c r="R6" s="122"/>
      <c r="S6" s="123"/>
      <c r="T6" s="123"/>
      <c r="U6" s="123"/>
      <c r="V6" s="124" t="str">
        <f t="shared" si="1"/>
        <v/>
      </c>
      <c r="W6" s="124"/>
      <c r="X6" s="117" t="s">
        <v>284</v>
      </c>
      <c r="Y6" s="119"/>
      <c r="Z6" s="124"/>
      <c r="AA6" s="124"/>
      <c r="AB6" s="125" t="s">
        <v>285</v>
      </c>
      <c r="AC6" s="146"/>
    </row>
    <row r="7" spans="1:29" ht="66" customHeight="1">
      <c r="A7" s="117" t="s">
        <v>210</v>
      </c>
      <c r="B7" s="117" t="s">
        <v>337</v>
      </c>
      <c r="C7" s="118">
        <v>46181</v>
      </c>
      <c r="D7" s="117"/>
      <c r="E7" s="119">
        <f t="shared" ca="1" si="0"/>
        <v>9</v>
      </c>
      <c r="F7" s="125" t="s">
        <v>257</v>
      </c>
      <c r="G7" s="117" t="s">
        <v>209</v>
      </c>
      <c r="H7" s="117" t="s">
        <v>288</v>
      </c>
      <c r="I7" s="121"/>
      <c r="J7" s="117" t="s">
        <v>129</v>
      </c>
      <c r="K7" s="117" t="s">
        <v>149</v>
      </c>
      <c r="L7" s="117" t="s">
        <v>149</v>
      </c>
      <c r="M7" s="117" t="s">
        <v>298</v>
      </c>
      <c r="N7" s="117" t="s">
        <v>234</v>
      </c>
      <c r="O7" s="117" t="s">
        <v>283</v>
      </c>
      <c r="P7" s="122"/>
      <c r="Q7" s="117"/>
      <c r="R7" s="122"/>
      <c r="S7" s="123">
        <v>2400</v>
      </c>
      <c r="T7" s="123"/>
      <c r="U7" s="123">
        <v>1000</v>
      </c>
      <c r="V7" s="147">
        <f t="shared" si="1"/>
        <v>3400</v>
      </c>
      <c r="W7" s="119"/>
      <c r="X7" s="117" t="s">
        <v>338</v>
      </c>
      <c r="Y7" s="119"/>
      <c r="Z7" s="119"/>
      <c r="AA7" s="119"/>
      <c r="AB7" s="125" t="s">
        <v>285</v>
      </c>
      <c r="AC7" s="146"/>
    </row>
    <row r="8" spans="1:29" ht="28.5" customHeight="1">
      <c r="A8" s="117" t="s">
        <v>210</v>
      </c>
      <c r="B8" s="117" t="s">
        <v>339</v>
      </c>
      <c r="C8" s="118">
        <v>46181</v>
      </c>
      <c r="D8" s="117"/>
      <c r="E8" s="119">
        <f t="shared" ca="1" si="0"/>
        <v>9</v>
      </c>
      <c r="F8" s="127" t="s">
        <v>257</v>
      </c>
      <c r="G8" s="117" t="s">
        <v>209</v>
      </c>
      <c r="H8" s="117" t="s">
        <v>288</v>
      </c>
      <c r="I8" s="121"/>
      <c r="J8" s="117" t="s">
        <v>135</v>
      </c>
      <c r="K8" s="117" t="s">
        <v>248</v>
      </c>
      <c r="L8" s="117" t="s">
        <v>340</v>
      </c>
      <c r="M8" s="117" t="s">
        <v>105</v>
      </c>
      <c r="N8" s="117" t="s">
        <v>226</v>
      </c>
      <c r="O8" s="117"/>
      <c r="P8" s="126"/>
      <c r="Q8" s="117"/>
      <c r="R8" s="126"/>
      <c r="S8" s="123"/>
      <c r="T8" s="123"/>
      <c r="U8" s="123"/>
      <c r="V8" s="119" t="str">
        <f t="shared" si="1"/>
        <v/>
      </c>
      <c r="W8" s="119"/>
      <c r="X8" s="117" t="s">
        <v>284</v>
      </c>
      <c r="Y8" s="119"/>
      <c r="Z8" s="119"/>
      <c r="AA8" s="119"/>
      <c r="AB8" s="125" t="s">
        <v>285</v>
      </c>
      <c r="AC8" s="146"/>
    </row>
    <row r="9" spans="1:29" ht="42" customHeight="1">
      <c r="A9" s="117" t="s">
        <v>210</v>
      </c>
      <c r="B9" s="117" t="s">
        <v>163</v>
      </c>
      <c r="C9" s="118">
        <v>46182</v>
      </c>
      <c r="D9" s="117"/>
      <c r="E9" s="119">
        <f t="shared" ca="1" si="0"/>
        <v>8</v>
      </c>
      <c r="F9" s="120"/>
      <c r="G9" s="117" t="s">
        <v>219</v>
      </c>
      <c r="H9" s="117" t="s">
        <v>288</v>
      </c>
      <c r="I9" s="121"/>
      <c r="J9" s="117" t="s">
        <v>107</v>
      </c>
      <c r="K9" s="117" t="s">
        <v>106</v>
      </c>
      <c r="L9" s="117"/>
      <c r="M9" s="117" t="s">
        <v>105</v>
      </c>
      <c r="N9" s="117" t="s">
        <v>250</v>
      </c>
      <c r="O9" s="117"/>
      <c r="P9" s="122"/>
      <c r="Q9" s="117"/>
      <c r="R9" s="122"/>
      <c r="S9" s="117"/>
      <c r="T9" s="117"/>
      <c r="U9" s="117"/>
      <c r="V9" s="119" t="str">
        <f t="shared" si="1"/>
        <v/>
      </c>
      <c r="W9" s="119"/>
      <c r="X9" s="117" t="s">
        <v>341</v>
      </c>
      <c r="Y9" s="119"/>
      <c r="Z9" s="119"/>
      <c r="AA9" s="119"/>
      <c r="AB9" s="125"/>
      <c r="AC9" s="146"/>
    </row>
    <row r="10" spans="1:29" ht="42" customHeight="1">
      <c r="A10" s="117" t="s">
        <v>210</v>
      </c>
      <c r="B10" s="117" t="s">
        <v>109</v>
      </c>
      <c r="C10" s="118">
        <v>46183</v>
      </c>
      <c r="D10" s="117"/>
      <c r="E10" s="119">
        <f t="shared" ca="1" si="0"/>
        <v>7</v>
      </c>
      <c r="F10" s="120" t="s">
        <v>257</v>
      </c>
      <c r="G10" s="117" t="s">
        <v>209</v>
      </c>
      <c r="H10" s="117" t="s">
        <v>111</v>
      </c>
      <c r="I10" s="121"/>
      <c r="J10" s="117" t="s">
        <v>101</v>
      </c>
      <c r="K10" s="117" t="s">
        <v>106</v>
      </c>
      <c r="L10" s="117"/>
      <c r="M10" s="117" t="s">
        <v>112</v>
      </c>
      <c r="N10" s="117" t="s">
        <v>250</v>
      </c>
      <c r="O10" s="117"/>
      <c r="P10" s="126"/>
      <c r="Q10" s="117"/>
      <c r="R10" s="126"/>
      <c r="S10" s="117"/>
      <c r="T10" s="117"/>
      <c r="U10" s="117"/>
      <c r="V10" s="119" t="str">
        <f t="shared" si="1"/>
        <v/>
      </c>
      <c r="W10" s="119"/>
      <c r="X10" s="117" t="s">
        <v>342</v>
      </c>
      <c r="Y10" s="119"/>
      <c r="Z10" s="119"/>
      <c r="AA10" s="119"/>
      <c r="AB10" s="125" t="s">
        <v>222</v>
      </c>
      <c r="AC10" s="146"/>
    </row>
    <row r="11" spans="1:29" ht="49.5" customHeight="1">
      <c r="A11" s="117" t="s">
        <v>210</v>
      </c>
      <c r="B11" s="117" t="s">
        <v>132</v>
      </c>
      <c r="C11" s="118">
        <v>46183</v>
      </c>
      <c r="D11" s="117"/>
      <c r="E11" s="119">
        <f t="shared" ca="1" si="0"/>
        <v>7</v>
      </c>
      <c r="F11" s="120"/>
      <c r="G11" s="117" t="s">
        <v>209</v>
      </c>
      <c r="H11" s="117" t="s">
        <v>288</v>
      </c>
      <c r="I11" s="121"/>
      <c r="J11" s="117" t="s">
        <v>135</v>
      </c>
      <c r="K11" s="117" t="s">
        <v>248</v>
      </c>
      <c r="L11" s="117"/>
      <c r="M11" s="117" t="s">
        <v>105</v>
      </c>
      <c r="N11" s="117" t="s">
        <v>250</v>
      </c>
      <c r="O11" s="117"/>
      <c r="P11" s="122"/>
      <c r="Q11" s="117"/>
      <c r="R11" s="122"/>
      <c r="S11" s="117"/>
      <c r="T11" s="117"/>
      <c r="U11" s="117"/>
      <c r="V11" s="119" t="str">
        <f t="shared" si="1"/>
        <v/>
      </c>
      <c r="W11" s="119"/>
      <c r="X11" s="117" t="s">
        <v>343</v>
      </c>
      <c r="Y11" s="119"/>
      <c r="Z11" s="119"/>
      <c r="AA11" s="119"/>
      <c r="AB11" s="125"/>
      <c r="AC11" s="146"/>
    </row>
    <row r="12" spans="1:29" ht="42" customHeight="1">
      <c r="A12" s="117" t="s">
        <v>210</v>
      </c>
      <c r="B12" s="117" t="s">
        <v>130</v>
      </c>
      <c r="C12" s="118">
        <v>46184</v>
      </c>
      <c r="D12" s="117"/>
      <c r="E12" s="119">
        <f t="shared" ca="1" si="0"/>
        <v>6</v>
      </c>
      <c r="F12" s="120" t="s">
        <v>257</v>
      </c>
      <c r="G12" s="117" t="s">
        <v>209</v>
      </c>
      <c r="H12" s="117" t="s">
        <v>288</v>
      </c>
      <c r="I12" s="121"/>
      <c r="J12" s="117" t="s">
        <v>107</v>
      </c>
      <c r="K12" s="117" t="s">
        <v>149</v>
      </c>
      <c r="L12" s="117"/>
      <c r="M12" s="117" t="s">
        <v>344</v>
      </c>
      <c r="N12" s="117" t="s">
        <v>226</v>
      </c>
      <c r="O12" s="117"/>
      <c r="P12" s="126"/>
      <c r="Q12" s="117"/>
      <c r="R12" s="126"/>
      <c r="S12" s="117"/>
      <c r="T12" s="117"/>
      <c r="U12" s="117"/>
      <c r="V12" s="119" t="str">
        <f t="shared" si="1"/>
        <v/>
      </c>
      <c r="W12" s="119"/>
      <c r="X12" s="117" t="s">
        <v>345</v>
      </c>
      <c r="Y12" s="119"/>
      <c r="Z12" s="119"/>
      <c r="AA12" s="119"/>
      <c r="AB12" s="125"/>
      <c r="AC12" s="146"/>
    </row>
    <row r="13" spans="1:29" ht="49.5" customHeight="1">
      <c r="A13" s="117" t="s">
        <v>210</v>
      </c>
      <c r="B13" s="117" t="s">
        <v>118</v>
      </c>
      <c r="C13" s="118">
        <v>46184</v>
      </c>
      <c r="D13" s="117"/>
      <c r="E13" s="119">
        <f t="shared" ca="1" si="0"/>
        <v>6</v>
      </c>
      <c r="F13" s="125" t="s">
        <v>257</v>
      </c>
      <c r="G13" s="117" t="s">
        <v>209</v>
      </c>
      <c r="H13" s="117" t="s">
        <v>288</v>
      </c>
      <c r="I13" s="121"/>
      <c r="J13" s="117" t="s">
        <v>101</v>
      </c>
      <c r="K13" s="117" t="s">
        <v>106</v>
      </c>
      <c r="L13" s="117"/>
      <c r="M13" s="117" t="s">
        <v>120</v>
      </c>
      <c r="N13" s="117" t="s">
        <v>250</v>
      </c>
      <c r="O13" s="117"/>
      <c r="P13" s="122"/>
      <c r="Q13" s="117"/>
      <c r="R13" s="122"/>
      <c r="S13" s="117"/>
      <c r="T13" s="117"/>
      <c r="U13" s="117"/>
      <c r="V13" s="119" t="str">
        <f t="shared" si="1"/>
        <v/>
      </c>
      <c r="W13" s="119"/>
      <c r="X13" s="117" t="s">
        <v>346</v>
      </c>
      <c r="Y13" s="119"/>
      <c r="Z13" s="119"/>
      <c r="AA13" s="119"/>
      <c r="AB13" s="125" t="s">
        <v>222</v>
      </c>
      <c r="AC13" s="146"/>
    </row>
    <row r="14" spans="1:29" ht="21.75" customHeight="1">
      <c r="A14" s="117"/>
      <c r="B14" s="117" t="s">
        <v>165</v>
      </c>
      <c r="C14" s="118">
        <v>46186</v>
      </c>
      <c r="D14" s="117"/>
      <c r="E14" s="119"/>
      <c r="F14" s="125" t="s">
        <v>257</v>
      </c>
      <c r="G14" s="117" t="s">
        <v>219</v>
      </c>
      <c r="H14" s="117" t="s">
        <v>98</v>
      </c>
      <c r="I14" s="121"/>
      <c r="J14" s="117" t="s">
        <v>101</v>
      </c>
      <c r="K14" s="117" t="s">
        <v>106</v>
      </c>
      <c r="L14" s="117"/>
      <c r="M14" s="117" t="s">
        <v>167</v>
      </c>
      <c r="N14" s="117" t="s">
        <v>250</v>
      </c>
      <c r="O14" s="117"/>
      <c r="P14" s="126"/>
      <c r="Q14" s="117"/>
      <c r="R14" s="126"/>
      <c r="S14" s="117"/>
      <c r="T14" s="117"/>
      <c r="U14" s="117"/>
      <c r="V14" s="119" t="str">
        <f t="shared" si="1"/>
        <v/>
      </c>
      <c r="W14" s="119"/>
      <c r="X14" s="117"/>
      <c r="Y14" s="119"/>
      <c r="Z14" s="119"/>
      <c r="AA14" s="119"/>
      <c r="AB14" s="125" t="s">
        <v>222</v>
      </c>
      <c r="AC14" s="146"/>
    </row>
    <row r="15" spans="1:29" ht="21.75" customHeight="1">
      <c r="A15" s="117"/>
      <c r="B15" s="117" t="s">
        <v>124</v>
      </c>
      <c r="C15" s="118">
        <v>46186</v>
      </c>
      <c r="D15" s="117"/>
      <c r="E15" s="119"/>
      <c r="F15" s="125" t="s">
        <v>257</v>
      </c>
      <c r="G15" s="117" t="s">
        <v>209</v>
      </c>
      <c r="H15" s="117" t="s">
        <v>126</v>
      </c>
      <c r="I15" s="121"/>
      <c r="J15" s="117" t="s">
        <v>129</v>
      </c>
      <c r="K15" s="117" t="s">
        <v>149</v>
      </c>
      <c r="L15" s="117" t="s">
        <v>149</v>
      </c>
      <c r="M15" s="117" t="s">
        <v>127</v>
      </c>
      <c r="N15" s="117" t="s">
        <v>234</v>
      </c>
      <c r="O15" s="117"/>
      <c r="P15" s="122"/>
      <c r="Q15" s="117"/>
      <c r="R15" s="122"/>
      <c r="S15" s="117"/>
      <c r="T15" s="117"/>
      <c r="U15" s="148">
        <v>2000</v>
      </c>
      <c r="V15" s="119">
        <f t="shared" si="1"/>
        <v>2000</v>
      </c>
      <c r="W15" s="119"/>
      <c r="X15" s="117" t="s">
        <v>284</v>
      </c>
      <c r="Y15" s="119"/>
      <c r="Z15" s="119"/>
      <c r="AA15" s="119"/>
      <c r="AB15" s="125"/>
      <c r="AC15" s="146"/>
    </row>
    <row r="16" spans="1:29" ht="21.75" customHeight="1">
      <c r="A16" s="117"/>
      <c r="B16" s="117" t="s">
        <v>121</v>
      </c>
      <c r="C16" s="118">
        <v>46186</v>
      </c>
      <c r="D16" s="117"/>
      <c r="E16" s="119"/>
      <c r="F16" s="125" t="s">
        <v>216</v>
      </c>
      <c r="G16" s="117" t="s">
        <v>219</v>
      </c>
      <c r="H16" s="117" t="s">
        <v>98</v>
      </c>
      <c r="I16" s="121"/>
      <c r="J16" s="117" t="s">
        <v>107</v>
      </c>
      <c r="K16" s="117" t="s">
        <v>106</v>
      </c>
      <c r="L16" s="117"/>
      <c r="M16" s="117" t="s">
        <v>347</v>
      </c>
      <c r="N16" s="117" t="s">
        <v>226</v>
      </c>
      <c r="O16" s="117"/>
      <c r="P16" s="126"/>
      <c r="Q16" s="117"/>
      <c r="R16" s="126"/>
      <c r="S16" s="117"/>
      <c r="T16" s="148"/>
      <c r="U16" s="117"/>
      <c r="V16" s="119" t="str">
        <f t="shared" si="1"/>
        <v/>
      </c>
      <c r="W16" s="119"/>
      <c r="X16" s="117"/>
      <c r="Y16" s="119"/>
      <c r="Z16" s="119"/>
      <c r="AA16" s="119"/>
      <c r="AB16" s="125" t="s">
        <v>222</v>
      </c>
      <c r="AC16" s="146"/>
    </row>
    <row r="17" spans="1:29" ht="21.75" customHeight="1">
      <c r="A17" s="117"/>
      <c r="B17" s="117" t="s">
        <v>114</v>
      </c>
      <c r="C17" s="118">
        <v>46187</v>
      </c>
      <c r="D17" s="117"/>
      <c r="E17" s="119"/>
      <c r="F17" s="120" t="s">
        <v>216</v>
      </c>
      <c r="G17" s="117" t="s">
        <v>219</v>
      </c>
      <c r="H17" s="117" t="s">
        <v>98</v>
      </c>
      <c r="I17" s="121"/>
      <c r="J17" s="117" t="s">
        <v>107</v>
      </c>
      <c r="K17" s="117" t="s">
        <v>106</v>
      </c>
      <c r="L17" s="117"/>
      <c r="M17" s="117" t="s">
        <v>344</v>
      </c>
      <c r="N17" s="117" t="s">
        <v>250</v>
      </c>
      <c r="O17" s="117"/>
      <c r="P17" s="122"/>
      <c r="Q17" s="117"/>
      <c r="R17" s="122"/>
      <c r="S17" s="117"/>
      <c r="T17" s="117"/>
      <c r="U17" s="117"/>
      <c r="V17" s="119" t="str">
        <f t="shared" si="1"/>
        <v/>
      </c>
      <c r="W17" s="119"/>
      <c r="X17" s="117"/>
      <c r="Y17" s="119"/>
      <c r="Z17" s="119"/>
      <c r="AA17" s="119"/>
      <c r="AB17" s="125" t="s">
        <v>222</v>
      </c>
      <c r="AC17" s="146"/>
    </row>
    <row r="18" spans="1:29" ht="21.75" customHeight="1">
      <c r="A18" s="117"/>
      <c r="B18" s="117"/>
      <c r="C18" s="117"/>
      <c r="D18" s="117"/>
      <c r="E18" s="119"/>
      <c r="F18" s="125"/>
      <c r="G18" s="117"/>
      <c r="H18" s="117"/>
      <c r="I18" s="121"/>
      <c r="J18" s="117"/>
      <c r="K18" s="117"/>
      <c r="L18" s="117"/>
      <c r="M18" s="117"/>
      <c r="N18" s="117"/>
      <c r="O18" s="117"/>
      <c r="P18" s="126"/>
      <c r="Q18" s="117"/>
      <c r="R18" s="126"/>
      <c r="S18" s="117"/>
      <c r="T18" s="117"/>
      <c r="U18" s="117"/>
      <c r="V18" s="119"/>
      <c r="W18" s="119"/>
      <c r="X18" s="117"/>
      <c r="Y18" s="119"/>
      <c r="Z18" s="119"/>
      <c r="AA18" s="119"/>
      <c r="AB18" s="125"/>
      <c r="AC18" s="146"/>
    </row>
    <row r="19" spans="1:29" ht="21.75" customHeight="1">
      <c r="A19" s="117"/>
      <c r="B19" s="117"/>
      <c r="C19" s="117"/>
      <c r="D19" s="117"/>
      <c r="E19" s="119"/>
      <c r="F19" s="125"/>
      <c r="G19" s="117"/>
      <c r="H19" s="117"/>
      <c r="I19" s="121"/>
      <c r="J19" s="117"/>
      <c r="K19" s="117"/>
      <c r="L19" s="117"/>
      <c r="M19" s="117"/>
      <c r="N19" s="117"/>
      <c r="O19" s="117"/>
      <c r="P19" s="122"/>
      <c r="Q19" s="117"/>
      <c r="R19" s="122"/>
      <c r="S19" s="117"/>
      <c r="T19" s="117"/>
      <c r="U19" s="117"/>
      <c r="V19" s="119"/>
      <c r="W19" s="119"/>
      <c r="X19" s="117"/>
      <c r="Y19" s="119"/>
      <c r="Z19" s="119"/>
      <c r="AA19" s="119"/>
      <c r="AB19" s="125"/>
      <c r="AC19" s="146"/>
    </row>
    <row r="20" spans="1:29" ht="21.75" customHeight="1">
      <c r="A20" s="117"/>
      <c r="B20" s="117"/>
      <c r="C20" s="117"/>
      <c r="D20" s="117"/>
      <c r="E20" s="119"/>
      <c r="F20" s="120"/>
      <c r="G20" s="117"/>
      <c r="H20" s="117"/>
      <c r="I20" s="121"/>
      <c r="J20" s="117"/>
      <c r="K20" s="117"/>
      <c r="L20" s="117"/>
      <c r="M20" s="117"/>
      <c r="N20" s="117"/>
      <c r="O20" s="117"/>
      <c r="P20" s="128"/>
      <c r="Q20" s="117"/>
      <c r="R20" s="128"/>
      <c r="S20" s="117"/>
      <c r="T20" s="117"/>
      <c r="U20" s="117"/>
      <c r="V20" s="119"/>
      <c r="W20" s="119"/>
      <c r="X20" s="117"/>
      <c r="Y20" s="119"/>
      <c r="Z20" s="119"/>
      <c r="AA20" s="119"/>
      <c r="AB20" s="125"/>
      <c r="AC20" s="146"/>
    </row>
    <row r="21" spans="1:29" ht="21.75" customHeight="1">
      <c r="A21" s="117"/>
      <c r="B21" s="117"/>
      <c r="C21" s="117"/>
      <c r="D21" s="117"/>
      <c r="E21" s="119"/>
      <c r="F21" s="120"/>
      <c r="G21" s="117"/>
      <c r="H21" s="117"/>
      <c r="I21" s="121"/>
      <c r="J21" s="117"/>
      <c r="K21" s="117"/>
      <c r="L21" s="117"/>
      <c r="M21" s="117"/>
      <c r="N21" s="117"/>
      <c r="O21" s="117"/>
      <c r="P21" s="122"/>
      <c r="Q21" s="117"/>
      <c r="R21" s="122"/>
      <c r="S21" s="117"/>
      <c r="T21" s="117"/>
      <c r="U21" s="117"/>
      <c r="V21" s="119"/>
      <c r="W21" s="119"/>
      <c r="X21" s="117"/>
      <c r="Y21" s="119"/>
      <c r="Z21" s="119"/>
      <c r="AA21" s="119"/>
      <c r="AB21" s="125"/>
      <c r="AC21" s="146"/>
    </row>
    <row r="22" spans="1:29" ht="21.75" customHeight="1">
      <c r="A22" s="117"/>
      <c r="B22" s="117"/>
      <c r="C22" s="117"/>
      <c r="D22" s="117"/>
      <c r="E22" s="119"/>
      <c r="F22" s="120"/>
      <c r="G22" s="117"/>
      <c r="H22" s="117"/>
      <c r="I22" s="121"/>
      <c r="J22" s="117"/>
      <c r="K22" s="117"/>
      <c r="L22" s="117"/>
      <c r="M22" s="117"/>
      <c r="N22" s="117"/>
      <c r="O22" s="117"/>
      <c r="P22" s="126"/>
      <c r="Q22" s="117"/>
      <c r="R22" s="126"/>
      <c r="S22" s="117"/>
      <c r="T22" s="117"/>
      <c r="U22" s="117"/>
      <c r="V22" s="119"/>
      <c r="W22" s="119"/>
      <c r="X22" s="117"/>
      <c r="Y22" s="119"/>
      <c r="Z22" s="119"/>
      <c r="AA22" s="119"/>
      <c r="AB22" s="125"/>
      <c r="AC22" s="146"/>
    </row>
    <row r="23" spans="1:29" ht="21.75" customHeight="1">
      <c r="A23" s="117"/>
      <c r="B23" s="117"/>
      <c r="C23" s="117"/>
      <c r="D23" s="117"/>
      <c r="E23" s="119"/>
      <c r="F23" s="120"/>
      <c r="G23" s="117"/>
      <c r="H23" s="117"/>
      <c r="I23" s="121"/>
      <c r="J23" s="117"/>
      <c r="K23" s="117"/>
      <c r="L23" s="117"/>
      <c r="M23" s="117"/>
      <c r="N23" s="117"/>
      <c r="O23" s="117"/>
      <c r="P23" s="122"/>
      <c r="Q23" s="117"/>
      <c r="R23" s="122"/>
      <c r="S23" s="117"/>
      <c r="T23" s="117"/>
      <c r="U23" s="117"/>
      <c r="V23" s="119"/>
      <c r="W23" s="119"/>
      <c r="X23" s="117"/>
      <c r="Y23" s="119"/>
      <c r="Z23" s="119"/>
      <c r="AA23" s="119"/>
      <c r="AB23" s="125"/>
      <c r="AC23" s="146"/>
    </row>
    <row r="24" spans="1:29" ht="21.75" customHeight="1">
      <c r="A24" s="117"/>
      <c r="B24" s="117"/>
      <c r="C24" s="117"/>
      <c r="D24" s="117"/>
      <c r="E24" s="119"/>
      <c r="F24" s="120"/>
      <c r="G24" s="117"/>
      <c r="H24" s="117"/>
      <c r="I24" s="121"/>
      <c r="J24" s="117"/>
      <c r="K24" s="117"/>
      <c r="L24" s="117"/>
      <c r="M24" s="117"/>
      <c r="N24" s="117"/>
      <c r="O24" s="117"/>
      <c r="P24" s="126"/>
      <c r="Q24" s="117"/>
      <c r="R24" s="126"/>
      <c r="S24" s="117"/>
      <c r="T24" s="117"/>
      <c r="U24" s="117"/>
      <c r="V24" s="119"/>
      <c r="W24" s="119"/>
      <c r="X24" s="117"/>
      <c r="Y24" s="119"/>
      <c r="Z24" s="119"/>
      <c r="AA24" s="119"/>
      <c r="AB24" s="125"/>
      <c r="AC24" s="146"/>
    </row>
    <row r="25" spans="1:29" ht="21.75" customHeight="1">
      <c r="A25" s="117"/>
      <c r="B25" s="117"/>
      <c r="C25" s="117"/>
      <c r="D25" s="117"/>
      <c r="E25" s="119"/>
      <c r="F25" s="127"/>
      <c r="G25" s="117"/>
      <c r="H25" s="117"/>
      <c r="I25" s="121"/>
      <c r="J25" s="117"/>
      <c r="K25" s="117"/>
      <c r="L25" s="117"/>
      <c r="M25" s="117"/>
      <c r="N25" s="117"/>
      <c r="O25" s="117"/>
      <c r="P25" s="122"/>
      <c r="Q25" s="117"/>
      <c r="R25" s="122"/>
      <c r="S25" s="117"/>
      <c r="T25" s="117"/>
      <c r="U25" s="117"/>
      <c r="V25" s="119"/>
      <c r="W25" s="119"/>
      <c r="X25" s="117"/>
      <c r="Y25" s="119"/>
      <c r="Z25" s="119"/>
      <c r="AA25" s="119"/>
      <c r="AB25" s="125"/>
      <c r="AC25" s="146"/>
    </row>
    <row r="26" spans="1:29" ht="21.75" customHeight="1">
      <c r="A26" s="117"/>
      <c r="B26" s="117"/>
      <c r="C26" s="117"/>
      <c r="D26" s="117"/>
      <c r="E26" s="119"/>
      <c r="F26" s="127"/>
      <c r="G26" s="117"/>
      <c r="H26" s="117"/>
      <c r="I26" s="121"/>
      <c r="J26" s="117"/>
      <c r="K26" s="117"/>
      <c r="L26" s="117"/>
      <c r="M26" s="117"/>
      <c r="N26" s="117"/>
      <c r="O26" s="117"/>
      <c r="P26" s="126"/>
      <c r="Q26" s="117"/>
      <c r="R26" s="126"/>
      <c r="S26" s="117"/>
      <c r="T26" s="117"/>
      <c r="U26" s="117"/>
      <c r="V26" s="119"/>
      <c r="W26" s="119"/>
      <c r="X26" s="117"/>
      <c r="Y26" s="119"/>
      <c r="Z26" s="119"/>
      <c r="AA26" s="119"/>
      <c r="AB26" s="125"/>
      <c r="AC26" s="146"/>
    </row>
    <row r="27" spans="1:29" ht="21.75" customHeight="1">
      <c r="A27" s="121"/>
      <c r="B27" s="121"/>
      <c r="C27" s="121"/>
      <c r="D27" s="121"/>
      <c r="E27" s="132"/>
      <c r="F27" s="121"/>
      <c r="G27" s="121"/>
      <c r="H27" s="121"/>
      <c r="I27" s="121"/>
      <c r="J27" s="121"/>
      <c r="K27" s="121"/>
      <c r="L27" s="121"/>
      <c r="M27" s="121"/>
      <c r="N27" s="121"/>
      <c r="O27" s="121"/>
      <c r="P27" s="133"/>
      <c r="Q27" s="121"/>
      <c r="R27" s="133"/>
      <c r="S27" s="121"/>
      <c r="T27" s="121"/>
      <c r="U27" s="121"/>
      <c r="V27" s="132"/>
      <c r="W27" s="132"/>
      <c r="X27" s="121"/>
      <c r="Y27" s="132"/>
      <c r="Z27" s="132"/>
      <c r="AA27" s="132"/>
      <c r="AB27" s="125"/>
      <c r="AC27" s="146"/>
    </row>
    <row r="28" spans="1:29" ht="15" customHeight="1">
      <c r="A28" s="121"/>
      <c r="B28" s="121"/>
      <c r="C28" s="121"/>
      <c r="D28" s="121"/>
      <c r="E28" s="132"/>
      <c r="F28" s="121"/>
      <c r="G28" s="121"/>
      <c r="H28" s="121"/>
      <c r="I28" s="121"/>
      <c r="J28" s="121"/>
      <c r="K28" s="121"/>
      <c r="L28" s="121"/>
      <c r="M28" s="121"/>
      <c r="N28" s="121"/>
      <c r="O28" s="121"/>
      <c r="P28" s="133"/>
      <c r="Q28" s="121"/>
      <c r="R28" s="133"/>
      <c r="S28" s="121"/>
      <c r="T28" s="121"/>
      <c r="U28" s="121"/>
      <c r="V28" s="132"/>
      <c r="W28" s="132"/>
      <c r="X28" s="121"/>
      <c r="Y28" s="132"/>
      <c r="Z28" s="132"/>
      <c r="AA28" s="132"/>
      <c r="AB28" s="125"/>
      <c r="AC28" s="146"/>
    </row>
    <row r="29" spans="1:29" ht="15" customHeight="1">
      <c r="A29" s="121"/>
      <c r="B29" s="121"/>
      <c r="C29" s="121"/>
      <c r="D29" s="121"/>
      <c r="E29" s="132"/>
      <c r="F29" s="121"/>
      <c r="G29" s="121"/>
      <c r="H29" s="121"/>
      <c r="I29" s="121"/>
      <c r="J29" s="121"/>
      <c r="K29" s="121"/>
      <c r="L29" s="121"/>
      <c r="M29" s="121"/>
      <c r="N29" s="121"/>
      <c r="O29" s="121"/>
      <c r="P29" s="133"/>
      <c r="Q29" s="121"/>
      <c r="R29" s="133"/>
      <c r="S29" s="121"/>
      <c r="T29" s="121"/>
      <c r="U29" s="121"/>
      <c r="V29" s="132"/>
      <c r="W29" s="132"/>
      <c r="X29" s="121"/>
      <c r="Y29" s="132"/>
      <c r="Z29" s="132"/>
      <c r="AA29" s="132"/>
      <c r="AB29" s="125"/>
      <c r="AC29" s="146"/>
    </row>
    <row r="30" spans="1:29" ht="18" customHeight="1">
      <c r="A30" s="136"/>
      <c r="B30" s="121"/>
      <c r="C30" s="121"/>
      <c r="D30" s="121"/>
      <c r="E30" s="132"/>
      <c r="F30" s="121"/>
      <c r="G30" s="121"/>
      <c r="H30" s="121"/>
      <c r="I30" s="121"/>
      <c r="J30" s="121"/>
      <c r="K30" s="121"/>
      <c r="L30" s="121"/>
      <c r="M30" s="121"/>
      <c r="N30" s="121"/>
      <c r="O30" s="121"/>
      <c r="P30" s="133"/>
      <c r="Q30" s="121"/>
      <c r="R30" s="133"/>
      <c r="S30" s="121"/>
      <c r="T30" s="121"/>
      <c r="U30" s="121"/>
      <c r="V30" s="132"/>
      <c r="W30" s="132"/>
      <c r="X30" s="121"/>
      <c r="Y30" s="132"/>
      <c r="Z30" s="132"/>
      <c r="AA30" s="132"/>
      <c r="AB30" s="125"/>
      <c r="AC30" s="146"/>
    </row>
    <row r="31" spans="1:29" ht="21.75" customHeight="1">
      <c r="A31" s="137"/>
      <c r="B31" s="137"/>
      <c r="C31" s="137"/>
      <c r="D31" s="137"/>
      <c r="E31" s="139"/>
      <c r="F31" s="137"/>
      <c r="G31" s="137"/>
      <c r="H31" s="137"/>
      <c r="I31" s="121"/>
      <c r="J31" s="121"/>
      <c r="K31" s="121"/>
      <c r="L31" s="121"/>
      <c r="M31" s="121"/>
      <c r="N31" s="121"/>
      <c r="O31" s="121"/>
      <c r="P31" s="133"/>
      <c r="Q31" s="121"/>
      <c r="R31" s="133"/>
      <c r="S31" s="121"/>
      <c r="T31" s="121"/>
      <c r="U31" s="121"/>
      <c r="V31" s="132"/>
      <c r="W31" s="132"/>
      <c r="X31" s="121"/>
      <c r="Y31" s="132"/>
      <c r="Z31" s="132"/>
      <c r="AA31" s="132"/>
      <c r="AB31" s="125"/>
      <c r="AC31" s="146"/>
    </row>
    <row r="32" spans="1:29" ht="19.5" customHeight="1">
      <c r="A32" s="140"/>
      <c r="B32" s="141"/>
      <c r="C32" s="141"/>
      <c r="D32" s="141"/>
      <c r="E32" s="143"/>
      <c r="F32" s="141"/>
      <c r="G32" s="141"/>
      <c r="H32" s="141"/>
      <c r="I32" s="121"/>
      <c r="J32" s="121"/>
      <c r="K32" s="121"/>
      <c r="L32" s="121"/>
      <c r="M32" s="121"/>
      <c r="N32" s="121"/>
      <c r="O32" s="121"/>
      <c r="P32" s="133"/>
      <c r="Q32" s="121"/>
      <c r="R32" s="133"/>
      <c r="S32" s="121"/>
      <c r="T32" s="121"/>
      <c r="U32" s="121"/>
      <c r="V32" s="132"/>
      <c r="W32" s="132"/>
      <c r="X32" s="121"/>
      <c r="Y32" s="132"/>
      <c r="Z32" s="132"/>
      <c r="AA32" s="132"/>
      <c r="AB32" s="125"/>
      <c r="AC32" s="146"/>
    </row>
    <row r="33" spans="1:29" ht="19.5" customHeight="1">
      <c r="A33" s="140"/>
      <c r="B33" s="141"/>
      <c r="C33" s="141"/>
      <c r="D33" s="141"/>
      <c r="E33" s="143"/>
      <c r="F33" s="141"/>
      <c r="G33" s="141"/>
      <c r="H33" s="141"/>
      <c r="I33" s="121"/>
      <c r="J33" s="121"/>
      <c r="K33" s="121"/>
      <c r="L33" s="121"/>
      <c r="M33" s="121"/>
      <c r="N33" s="121"/>
      <c r="O33" s="121"/>
      <c r="P33" s="133"/>
      <c r="Q33" s="121"/>
      <c r="R33" s="133"/>
      <c r="S33" s="121"/>
      <c r="T33" s="121"/>
      <c r="U33" s="121"/>
      <c r="V33" s="132"/>
      <c r="W33" s="132"/>
      <c r="X33" s="121"/>
      <c r="Y33" s="132"/>
      <c r="Z33" s="132"/>
      <c r="AA33" s="132"/>
      <c r="AB33" s="125"/>
      <c r="AC33" s="146"/>
    </row>
    <row r="34" spans="1:29" ht="19.5" customHeight="1">
      <c r="A34" s="140"/>
      <c r="B34" s="141"/>
      <c r="C34" s="141"/>
      <c r="D34" s="141"/>
      <c r="E34" s="143"/>
      <c r="F34" s="141"/>
      <c r="G34" s="141"/>
      <c r="H34" s="141"/>
      <c r="I34" s="121"/>
      <c r="J34" s="121"/>
      <c r="K34" s="121"/>
      <c r="L34" s="121"/>
      <c r="M34" s="121"/>
      <c r="N34" s="121"/>
      <c r="O34" s="121"/>
      <c r="P34" s="133"/>
      <c r="Q34" s="121"/>
      <c r="R34" s="133"/>
      <c r="S34" s="121"/>
      <c r="T34" s="121"/>
      <c r="U34" s="121"/>
      <c r="V34" s="132"/>
      <c r="W34" s="132"/>
      <c r="X34" s="121"/>
      <c r="Y34" s="132"/>
      <c r="Z34" s="132"/>
      <c r="AA34" s="132"/>
      <c r="AB34" s="125"/>
      <c r="AC34" s="146"/>
    </row>
    <row r="35" spans="1:29" ht="19.5" customHeight="1">
      <c r="A35" s="140"/>
      <c r="B35" s="141"/>
      <c r="C35" s="141"/>
      <c r="D35" s="141"/>
      <c r="E35" s="143"/>
      <c r="F35" s="141"/>
      <c r="G35" s="141"/>
      <c r="H35" s="141"/>
      <c r="I35" s="121"/>
      <c r="J35" s="121"/>
      <c r="K35" s="121"/>
      <c r="L35" s="121"/>
      <c r="M35" s="121"/>
      <c r="N35" s="121"/>
      <c r="O35" s="121"/>
      <c r="P35" s="133"/>
      <c r="Q35" s="121"/>
      <c r="R35" s="133"/>
      <c r="S35" s="121"/>
      <c r="T35" s="121"/>
      <c r="U35" s="121"/>
      <c r="V35" s="132"/>
      <c r="W35" s="132"/>
      <c r="X35" s="121"/>
      <c r="Y35" s="132"/>
      <c r="Z35" s="132"/>
      <c r="AA35" s="132"/>
      <c r="AB35" s="125"/>
      <c r="AC35" s="146"/>
    </row>
    <row r="36" spans="1:29" ht="19.5" customHeight="1">
      <c r="A36" s="140"/>
      <c r="B36" s="141"/>
      <c r="C36" s="141"/>
      <c r="D36" s="141"/>
      <c r="E36" s="143"/>
      <c r="F36" s="141"/>
      <c r="G36" s="141"/>
      <c r="H36" s="141"/>
      <c r="I36" s="121"/>
      <c r="J36" s="121"/>
      <c r="K36" s="121"/>
      <c r="L36" s="121"/>
      <c r="M36" s="121"/>
      <c r="N36" s="121"/>
      <c r="O36" s="121"/>
      <c r="P36" s="133"/>
      <c r="Q36" s="121"/>
      <c r="R36" s="133"/>
      <c r="S36" s="121"/>
      <c r="T36" s="121"/>
      <c r="U36" s="121"/>
      <c r="V36" s="132"/>
      <c r="W36" s="132"/>
      <c r="X36" s="121"/>
      <c r="Y36" s="132"/>
      <c r="Z36" s="132"/>
      <c r="AA36" s="132"/>
      <c r="AB36" s="125"/>
      <c r="AC36" s="146"/>
    </row>
    <row r="37" spans="1:29" ht="15" customHeight="1">
      <c r="A37" s="121"/>
      <c r="B37" s="121"/>
      <c r="C37" s="121"/>
      <c r="D37" s="121"/>
      <c r="E37" s="132"/>
      <c r="F37" s="121"/>
      <c r="G37" s="121"/>
      <c r="H37" s="121"/>
      <c r="I37" s="121"/>
      <c r="J37" s="121"/>
      <c r="K37" s="121"/>
      <c r="L37" s="121"/>
      <c r="M37" s="121"/>
      <c r="N37" s="121"/>
      <c r="O37" s="121"/>
      <c r="P37" s="133"/>
      <c r="Q37" s="121"/>
      <c r="R37" s="133"/>
      <c r="S37" s="121"/>
      <c r="T37" s="121"/>
      <c r="U37" s="121"/>
      <c r="V37" s="132"/>
      <c r="W37" s="132"/>
      <c r="X37" s="121"/>
      <c r="Y37" s="132"/>
      <c r="Z37" s="132"/>
      <c r="AA37" s="132"/>
      <c r="AB37" s="125"/>
      <c r="AC37" s="146"/>
    </row>
    <row r="38" spans="1:29" ht="15" customHeight="1">
      <c r="A38" s="121"/>
      <c r="B38" s="121"/>
      <c r="C38" s="121"/>
      <c r="D38" s="121"/>
      <c r="E38" s="132"/>
      <c r="F38" s="121"/>
      <c r="G38" s="121"/>
      <c r="H38" s="121"/>
      <c r="I38" s="121"/>
      <c r="J38" s="121"/>
      <c r="K38" s="121"/>
      <c r="L38" s="121"/>
      <c r="M38" s="121"/>
      <c r="N38" s="121"/>
      <c r="O38" s="121"/>
      <c r="P38" s="133"/>
      <c r="Q38" s="121"/>
      <c r="R38" s="133"/>
      <c r="S38" s="121"/>
      <c r="T38" s="121"/>
      <c r="U38" s="121"/>
      <c r="V38" s="132"/>
      <c r="W38" s="132"/>
      <c r="X38" s="121"/>
      <c r="Y38" s="132"/>
      <c r="Z38" s="132"/>
      <c r="AA38" s="132"/>
      <c r="AB38" s="125"/>
      <c r="AC38" s="146"/>
    </row>
    <row r="39" spans="1:29" ht="15" customHeight="1">
      <c r="A39" s="121"/>
      <c r="B39" s="121"/>
      <c r="C39" s="121"/>
      <c r="D39" s="121"/>
      <c r="E39" s="132"/>
      <c r="F39" s="121"/>
      <c r="G39" s="121"/>
      <c r="H39" s="121"/>
      <c r="I39" s="121"/>
      <c r="J39" s="121"/>
      <c r="K39" s="121"/>
      <c r="L39" s="121"/>
      <c r="M39" s="121"/>
      <c r="N39" s="121"/>
      <c r="O39" s="121"/>
      <c r="P39" s="133"/>
      <c r="Q39" s="121"/>
      <c r="R39" s="133"/>
      <c r="S39" s="121"/>
      <c r="T39" s="121"/>
      <c r="U39" s="121"/>
      <c r="V39" s="132"/>
      <c r="W39" s="132"/>
      <c r="X39" s="121"/>
      <c r="Y39" s="132"/>
      <c r="Z39" s="132"/>
      <c r="AA39" s="132"/>
      <c r="AB39" s="125"/>
      <c r="AC39" s="146"/>
    </row>
    <row r="40" spans="1:29" ht="15" customHeight="1">
      <c r="A40" s="121"/>
      <c r="B40" s="121"/>
      <c r="C40" s="121"/>
      <c r="D40" s="121"/>
      <c r="E40" s="132"/>
      <c r="F40" s="121"/>
      <c r="G40" s="121"/>
      <c r="H40" s="121"/>
      <c r="I40" s="121"/>
      <c r="J40" s="121"/>
      <c r="K40" s="121"/>
      <c r="L40" s="121"/>
      <c r="M40" s="121"/>
      <c r="N40" s="121"/>
      <c r="O40" s="121"/>
      <c r="P40" s="133"/>
      <c r="Q40" s="121"/>
      <c r="R40" s="133"/>
      <c r="S40" s="121"/>
      <c r="T40" s="121"/>
      <c r="U40" s="121"/>
      <c r="V40" s="132"/>
      <c r="W40" s="132"/>
      <c r="X40" s="121"/>
      <c r="Y40" s="132"/>
      <c r="Z40" s="132"/>
      <c r="AA40" s="132"/>
      <c r="AB40" s="125"/>
      <c r="AC40" s="146"/>
    </row>
    <row r="41" spans="1:29" ht="15" customHeight="1">
      <c r="A41" s="121"/>
      <c r="B41" s="121"/>
      <c r="C41" s="121"/>
      <c r="D41" s="121"/>
      <c r="E41" s="132"/>
      <c r="F41" s="121"/>
      <c r="G41" s="121"/>
      <c r="H41" s="121"/>
      <c r="I41" s="121"/>
      <c r="J41" s="121"/>
      <c r="K41" s="121"/>
      <c r="L41" s="121"/>
      <c r="M41" s="121"/>
      <c r="N41" s="121"/>
      <c r="O41" s="121"/>
      <c r="P41" s="133"/>
      <c r="Q41" s="121"/>
      <c r="R41" s="133"/>
      <c r="S41" s="121"/>
      <c r="T41" s="121"/>
      <c r="U41" s="121"/>
      <c r="V41" s="132"/>
      <c r="W41" s="132"/>
      <c r="X41" s="121"/>
      <c r="Y41" s="132"/>
      <c r="Z41" s="132"/>
      <c r="AA41" s="132"/>
      <c r="AB41" s="125"/>
      <c r="AC41" s="146"/>
    </row>
    <row r="42" spans="1:29" ht="15" customHeight="1">
      <c r="A42" s="121"/>
      <c r="B42" s="121"/>
      <c r="C42" s="121"/>
      <c r="D42" s="121"/>
      <c r="E42" s="132"/>
      <c r="F42" s="121"/>
      <c r="G42" s="121"/>
      <c r="H42" s="121"/>
      <c r="I42" s="121"/>
      <c r="J42" s="121"/>
      <c r="K42" s="121"/>
      <c r="L42" s="121"/>
      <c r="M42" s="121"/>
      <c r="N42" s="121"/>
      <c r="O42" s="121"/>
      <c r="P42" s="133"/>
      <c r="Q42" s="121"/>
      <c r="R42" s="133"/>
      <c r="S42" s="121"/>
      <c r="T42" s="121"/>
      <c r="U42" s="121"/>
      <c r="V42" s="132"/>
      <c r="W42" s="132"/>
      <c r="X42" s="121"/>
      <c r="Y42" s="132"/>
      <c r="Z42" s="132"/>
      <c r="AA42" s="132"/>
      <c r="AB42" s="125"/>
      <c r="AC42" s="146"/>
    </row>
    <row r="43" spans="1:29" ht="15" customHeight="1">
      <c r="A43" s="121"/>
      <c r="B43" s="121"/>
      <c r="C43" s="121"/>
      <c r="D43" s="121"/>
      <c r="E43" s="132"/>
      <c r="F43" s="121"/>
      <c r="G43" s="121"/>
      <c r="H43" s="121"/>
      <c r="I43" s="121"/>
      <c r="J43" s="121"/>
      <c r="K43" s="121"/>
      <c r="L43" s="121"/>
      <c r="M43" s="121"/>
      <c r="N43" s="121"/>
      <c r="O43" s="121"/>
      <c r="P43" s="133"/>
      <c r="Q43" s="121"/>
      <c r="R43" s="133"/>
      <c r="S43" s="121"/>
      <c r="T43" s="121"/>
      <c r="U43" s="121"/>
      <c r="V43" s="132"/>
      <c r="W43" s="132"/>
      <c r="X43" s="121"/>
      <c r="Y43" s="132"/>
      <c r="Z43" s="132"/>
      <c r="AA43" s="132"/>
      <c r="AB43" s="125"/>
      <c r="AC43" s="146"/>
    </row>
    <row r="44" spans="1:29" ht="15" customHeight="1">
      <c r="A44" s="121"/>
      <c r="B44" s="121"/>
      <c r="C44" s="121"/>
      <c r="D44" s="121"/>
      <c r="E44" s="132"/>
      <c r="F44" s="121"/>
      <c r="G44" s="121"/>
      <c r="H44" s="121"/>
      <c r="I44" s="121"/>
      <c r="J44" s="121"/>
      <c r="K44" s="121"/>
      <c r="L44" s="121"/>
      <c r="M44" s="121"/>
      <c r="N44" s="121"/>
      <c r="O44" s="121"/>
      <c r="P44" s="133"/>
      <c r="Q44" s="121"/>
      <c r="R44" s="133"/>
      <c r="S44" s="121"/>
      <c r="T44" s="121"/>
      <c r="U44" s="121"/>
      <c r="V44" s="132"/>
      <c r="W44" s="132"/>
      <c r="X44" s="121"/>
      <c r="Y44" s="132"/>
      <c r="Z44" s="132"/>
      <c r="AA44" s="132"/>
      <c r="AB44" s="125"/>
      <c r="AC44" s="146"/>
    </row>
    <row r="45" spans="1:29" ht="15" customHeight="1">
      <c r="A45" s="121"/>
      <c r="B45" s="121"/>
      <c r="C45" s="121"/>
      <c r="D45" s="121"/>
      <c r="E45" s="132"/>
      <c r="F45" s="121"/>
      <c r="G45" s="121"/>
      <c r="H45" s="121"/>
      <c r="I45" s="121"/>
      <c r="J45" s="121"/>
      <c r="K45" s="121"/>
      <c r="L45" s="121"/>
      <c r="M45" s="121"/>
      <c r="N45" s="121"/>
      <c r="O45" s="121"/>
      <c r="P45" s="133"/>
      <c r="Q45" s="121"/>
      <c r="R45" s="133"/>
      <c r="S45" s="121"/>
      <c r="T45" s="121"/>
      <c r="U45" s="121"/>
      <c r="V45" s="132"/>
      <c r="W45" s="132"/>
      <c r="X45" s="121"/>
      <c r="Y45" s="132"/>
      <c r="Z45" s="132"/>
      <c r="AA45" s="132"/>
      <c r="AB45" s="125"/>
      <c r="AC45" s="146"/>
    </row>
    <row r="46" spans="1:29" ht="15" customHeight="1">
      <c r="A46" s="121"/>
      <c r="B46" s="121"/>
      <c r="C46" s="121"/>
      <c r="D46" s="121"/>
      <c r="E46" s="132"/>
      <c r="F46" s="121"/>
      <c r="G46" s="121"/>
      <c r="H46" s="121"/>
      <c r="I46" s="121"/>
      <c r="J46" s="121"/>
      <c r="K46" s="121"/>
      <c r="L46" s="121"/>
      <c r="M46" s="121"/>
      <c r="N46" s="121"/>
      <c r="O46" s="121"/>
      <c r="P46" s="133"/>
      <c r="Q46" s="121"/>
      <c r="R46" s="133"/>
      <c r="S46" s="121"/>
      <c r="T46" s="121"/>
      <c r="U46" s="121"/>
      <c r="V46" s="132"/>
      <c r="W46" s="132"/>
      <c r="X46" s="121"/>
      <c r="Y46" s="132"/>
      <c r="Z46" s="132"/>
      <c r="AA46" s="132"/>
      <c r="AB46" s="125"/>
      <c r="AC46" s="146"/>
    </row>
    <row r="47" spans="1:29" ht="15" customHeight="1">
      <c r="A47" s="121"/>
      <c r="B47" s="121"/>
      <c r="C47" s="121"/>
      <c r="D47" s="121"/>
      <c r="E47" s="132"/>
      <c r="F47" s="121"/>
      <c r="G47" s="121"/>
      <c r="H47" s="121"/>
      <c r="I47" s="121"/>
      <c r="J47" s="121"/>
      <c r="K47" s="121"/>
      <c r="L47" s="121"/>
      <c r="M47" s="121"/>
      <c r="N47" s="121"/>
      <c r="O47" s="121"/>
      <c r="P47" s="133"/>
      <c r="Q47" s="121"/>
      <c r="R47" s="133"/>
      <c r="S47" s="121"/>
      <c r="T47" s="121"/>
      <c r="U47" s="121"/>
      <c r="V47" s="132"/>
      <c r="W47" s="132"/>
      <c r="X47" s="121"/>
      <c r="Y47" s="132"/>
      <c r="Z47" s="132"/>
      <c r="AA47" s="132"/>
      <c r="AB47" s="125"/>
      <c r="AC47" s="146"/>
    </row>
    <row r="48" spans="1:29" ht="15" customHeight="1">
      <c r="A48" s="121"/>
      <c r="B48" s="121"/>
      <c r="C48" s="121"/>
      <c r="D48" s="121"/>
      <c r="E48" s="132"/>
      <c r="F48" s="121"/>
      <c r="G48" s="121"/>
      <c r="H48" s="121"/>
      <c r="I48" s="121"/>
      <c r="J48" s="121"/>
      <c r="K48" s="121"/>
      <c r="L48" s="121"/>
      <c r="M48" s="121"/>
      <c r="N48" s="121"/>
      <c r="O48" s="121"/>
      <c r="P48" s="133"/>
      <c r="Q48" s="121"/>
      <c r="R48" s="133"/>
      <c r="S48" s="121"/>
      <c r="T48" s="121"/>
      <c r="U48" s="121"/>
      <c r="V48" s="132"/>
      <c r="W48" s="132"/>
      <c r="X48" s="121"/>
      <c r="Y48" s="132"/>
      <c r="Z48" s="132"/>
      <c r="AA48" s="132"/>
      <c r="AB48" s="125"/>
      <c r="AC48" s="146"/>
    </row>
    <row r="49" spans="1:39" ht="15" customHeight="1">
      <c r="A49" s="121"/>
      <c r="B49" s="121"/>
      <c r="C49" s="121"/>
      <c r="D49" s="121"/>
      <c r="E49" s="132"/>
      <c r="F49" s="121"/>
      <c r="G49" s="121"/>
      <c r="H49" s="121"/>
      <c r="I49" s="121"/>
      <c r="J49" s="121"/>
      <c r="K49" s="121"/>
      <c r="L49" s="121"/>
      <c r="M49" s="121"/>
      <c r="N49" s="121"/>
      <c r="O49" s="121"/>
      <c r="P49" s="133"/>
      <c r="Q49" s="121"/>
      <c r="R49" s="133"/>
      <c r="S49" s="121"/>
      <c r="T49" s="121"/>
      <c r="U49" s="121"/>
      <c r="V49" s="132"/>
      <c r="W49" s="132"/>
      <c r="X49" s="121"/>
      <c r="Y49" s="132"/>
      <c r="Z49" s="132"/>
      <c r="AA49" s="132"/>
      <c r="AB49" s="125"/>
      <c r="AC49" s="146"/>
    </row>
    <row r="50" spans="1:39" ht="15" customHeight="1">
      <c r="A50" s="121"/>
      <c r="B50" s="121"/>
      <c r="C50" s="121"/>
      <c r="D50" s="121"/>
      <c r="E50" s="132"/>
      <c r="F50" s="121"/>
      <c r="G50" s="121"/>
      <c r="H50" s="121"/>
      <c r="I50" s="121"/>
      <c r="J50" s="121"/>
      <c r="K50" s="121"/>
      <c r="L50" s="121"/>
      <c r="M50" s="121"/>
      <c r="N50" s="121"/>
      <c r="O50" s="121"/>
      <c r="P50" s="133"/>
      <c r="Q50" s="121"/>
      <c r="R50" s="133"/>
      <c r="S50" s="121"/>
      <c r="T50" s="121"/>
      <c r="U50" s="121"/>
      <c r="V50" s="132"/>
      <c r="W50" s="132"/>
      <c r="X50" s="121"/>
      <c r="Y50" s="132"/>
      <c r="Z50" s="132"/>
      <c r="AA50" s="132"/>
      <c r="AB50" s="125"/>
      <c r="AC50" s="146"/>
    </row>
    <row r="51" spans="1:39" ht="15" customHeight="1">
      <c r="A51" s="121"/>
      <c r="B51" s="121"/>
      <c r="C51" s="121"/>
      <c r="D51" s="121"/>
      <c r="E51" s="132"/>
      <c r="F51" s="121"/>
      <c r="G51" s="121"/>
      <c r="H51" s="121"/>
      <c r="I51" s="121"/>
      <c r="J51" s="121"/>
      <c r="K51" s="121"/>
      <c r="L51" s="121"/>
      <c r="M51" s="121"/>
      <c r="N51" s="121"/>
      <c r="O51" s="121"/>
      <c r="P51" s="133"/>
      <c r="Q51" s="121"/>
      <c r="R51" s="133"/>
      <c r="S51" s="121"/>
      <c r="T51" s="121"/>
      <c r="U51" s="121"/>
      <c r="V51" s="132"/>
      <c r="W51" s="132"/>
      <c r="X51" s="121"/>
      <c r="Y51" s="132"/>
      <c r="Z51" s="132"/>
      <c r="AA51" s="132"/>
      <c r="AB51" s="125"/>
      <c r="AC51" s="146"/>
    </row>
    <row r="52" spans="1:39" ht="15" customHeight="1">
      <c r="A52" s="121"/>
      <c r="B52" s="121"/>
      <c r="C52" s="121"/>
      <c r="D52" s="121"/>
      <c r="E52" s="132"/>
      <c r="F52" s="121"/>
      <c r="G52" s="121"/>
      <c r="H52" s="121"/>
      <c r="I52" s="121"/>
      <c r="J52" s="121"/>
      <c r="K52" s="121"/>
      <c r="L52" s="121"/>
      <c r="M52" s="121"/>
      <c r="N52" s="121"/>
      <c r="O52" s="121"/>
      <c r="P52" s="133"/>
      <c r="Q52" s="121"/>
      <c r="R52" s="133"/>
      <c r="S52" s="121"/>
      <c r="T52" s="121"/>
      <c r="U52" s="121"/>
      <c r="V52" s="132"/>
      <c r="W52" s="132"/>
      <c r="X52" s="121"/>
      <c r="Y52" s="132"/>
      <c r="Z52" s="132"/>
      <c r="AA52" s="132"/>
      <c r="AB52" s="125"/>
      <c r="AC52" s="146"/>
    </row>
    <row r="53" spans="1:39" ht="15" customHeight="1">
      <c r="A53" s="121"/>
      <c r="B53" s="121"/>
      <c r="C53" s="121"/>
      <c r="D53" s="121"/>
      <c r="E53" s="132"/>
      <c r="F53" s="121"/>
      <c r="G53" s="121"/>
      <c r="H53" s="121"/>
      <c r="I53" s="121"/>
      <c r="J53" s="121"/>
      <c r="K53" s="121"/>
      <c r="L53" s="121"/>
      <c r="M53" s="121"/>
      <c r="N53" s="121"/>
      <c r="O53" s="121"/>
      <c r="P53" s="133"/>
      <c r="Q53" s="121"/>
      <c r="R53" s="133"/>
      <c r="S53" s="121"/>
      <c r="T53" s="121"/>
      <c r="U53" s="121"/>
      <c r="V53" s="132"/>
      <c r="W53" s="132"/>
      <c r="X53" s="121"/>
      <c r="Y53" s="132"/>
      <c r="Z53" s="132"/>
      <c r="AA53" s="132"/>
      <c r="AB53" s="125"/>
      <c r="AC53" s="146"/>
    </row>
    <row r="54" spans="1:39" ht="15" customHeight="1">
      <c r="A54" s="121"/>
      <c r="B54" s="121"/>
      <c r="C54" s="121"/>
      <c r="D54" s="121"/>
      <c r="E54" s="132"/>
      <c r="F54" s="121"/>
      <c r="G54" s="121"/>
      <c r="H54" s="121"/>
      <c r="I54" s="121"/>
      <c r="J54" s="121"/>
      <c r="K54" s="121"/>
      <c r="L54" s="121"/>
      <c r="M54" s="121"/>
      <c r="N54" s="121"/>
      <c r="O54" s="121"/>
      <c r="P54" s="133"/>
      <c r="Q54" s="121"/>
      <c r="R54" s="133"/>
      <c r="S54" s="121"/>
      <c r="T54" s="121"/>
      <c r="U54" s="121"/>
      <c r="V54" s="132"/>
      <c r="W54" s="132"/>
      <c r="X54" s="121"/>
      <c r="Y54" s="132"/>
      <c r="Z54" s="132"/>
      <c r="AA54" s="132"/>
      <c r="AB54" s="125"/>
      <c r="AC54" s="146"/>
    </row>
    <row r="55" spans="1:39" ht="15" customHeight="1">
      <c r="A55" s="121"/>
      <c r="B55" s="121"/>
      <c r="C55" s="121"/>
      <c r="D55" s="121"/>
      <c r="E55" s="132"/>
      <c r="F55" s="121"/>
      <c r="G55" s="121"/>
      <c r="H55" s="121"/>
      <c r="I55" s="121"/>
      <c r="J55" s="121"/>
      <c r="K55" s="121"/>
      <c r="L55" s="121"/>
      <c r="M55" s="121"/>
      <c r="N55" s="121"/>
      <c r="O55" s="121"/>
      <c r="P55" s="133"/>
      <c r="Q55" s="121"/>
      <c r="R55" s="133"/>
      <c r="S55" s="121"/>
      <c r="T55" s="121"/>
      <c r="U55" s="121"/>
      <c r="V55" s="132"/>
      <c r="W55" s="132"/>
      <c r="X55" s="121"/>
      <c r="Y55" s="132"/>
      <c r="Z55" s="132"/>
      <c r="AA55" s="132"/>
      <c r="AB55" s="125"/>
      <c r="AC55" s="146"/>
    </row>
    <row r="56" spans="1:39" ht="15" customHeight="1">
      <c r="A56" s="121"/>
      <c r="B56" s="121"/>
      <c r="C56" s="121"/>
      <c r="D56" s="121"/>
      <c r="E56" s="132"/>
      <c r="F56" s="121"/>
      <c r="G56" s="121"/>
      <c r="H56" s="121"/>
      <c r="I56" s="121"/>
      <c r="J56" s="121"/>
      <c r="K56" s="121"/>
      <c r="L56" s="121"/>
      <c r="M56" s="121"/>
      <c r="N56" s="121"/>
      <c r="O56" s="121"/>
      <c r="P56" s="133"/>
      <c r="Q56" s="121"/>
      <c r="R56" s="133"/>
      <c r="S56" s="121"/>
      <c r="T56" s="121"/>
      <c r="U56" s="121"/>
      <c r="V56" s="132"/>
      <c r="W56" s="132"/>
      <c r="X56" s="121"/>
      <c r="Y56" s="132"/>
      <c r="Z56" s="132"/>
      <c r="AA56" s="132"/>
      <c r="AB56" s="125"/>
      <c r="AC56" s="146"/>
    </row>
    <row r="57" spans="1:39" ht="15" customHeight="1">
      <c r="A57" s="121"/>
      <c r="B57" s="121"/>
      <c r="C57" s="121"/>
      <c r="D57" s="121"/>
      <c r="E57" s="132"/>
      <c r="F57" s="121"/>
      <c r="G57" s="121"/>
      <c r="H57" s="121"/>
      <c r="I57" s="121"/>
      <c r="J57" s="121"/>
      <c r="K57" s="121"/>
      <c r="L57" s="121"/>
      <c r="M57" s="121"/>
      <c r="N57" s="121"/>
      <c r="O57" s="121"/>
      <c r="P57" s="133"/>
      <c r="Q57" s="121"/>
      <c r="R57" s="133"/>
      <c r="S57" s="121"/>
      <c r="T57" s="121"/>
      <c r="U57" s="121"/>
      <c r="V57" s="132"/>
      <c r="W57" s="132"/>
      <c r="X57" s="121"/>
      <c r="Y57" s="132"/>
      <c r="Z57" s="132"/>
      <c r="AA57" s="132"/>
      <c r="AB57" s="125"/>
      <c r="AC57" s="146"/>
    </row>
    <row r="58" spans="1:39" ht="15" customHeight="1">
      <c r="A58" s="121"/>
      <c r="B58" s="121"/>
      <c r="C58" s="121"/>
      <c r="D58" s="121"/>
      <c r="E58" s="132"/>
      <c r="F58" s="121"/>
      <c r="G58" s="121"/>
      <c r="H58" s="121"/>
      <c r="I58" s="121"/>
      <c r="J58" s="121"/>
      <c r="K58" s="121"/>
      <c r="L58" s="121"/>
      <c r="M58" s="121"/>
      <c r="N58" s="121"/>
      <c r="O58" s="121"/>
      <c r="P58" s="133"/>
      <c r="Q58" s="121"/>
      <c r="R58" s="133"/>
      <c r="S58" s="121"/>
      <c r="T58" s="121"/>
      <c r="U58" s="121"/>
      <c r="V58" s="132"/>
      <c r="W58" s="132"/>
      <c r="X58" s="121"/>
      <c r="Y58" s="132"/>
      <c r="Z58" s="132"/>
      <c r="AA58" s="132"/>
      <c r="AB58" s="125"/>
      <c r="AC58" s="146"/>
    </row>
    <row r="59" spans="1:39" ht="15" customHeight="1">
      <c r="A59" s="121"/>
      <c r="B59" s="121"/>
      <c r="C59" s="121"/>
      <c r="D59" s="121"/>
      <c r="E59" s="132"/>
      <c r="F59" s="121"/>
      <c r="G59" s="121"/>
      <c r="H59" s="121"/>
      <c r="I59" s="121"/>
      <c r="J59" s="121"/>
      <c r="K59" s="121"/>
      <c r="L59" s="121"/>
      <c r="M59" s="121"/>
      <c r="N59" s="121"/>
      <c r="O59" s="121"/>
      <c r="P59" s="133"/>
      <c r="Q59" s="121"/>
      <c r="R59" s="133"/>
      <c r="S59" s="121"/>
      <c r="T59" s="121"/>
      <c r="U59" s="121"/>
      <c r="V59" s="132"/>
      <c r="W59" s="132"/>
      <c r="X59" s="121"/>
      <c r="Y59" s="132"/>
      <c r="Z59" s="132"/>
      <c r="AA59" s="132"/>
      <c r="AB59" s="125"/>
      <c r="AC59" s="146"/>
    </row>
    <row r="60" spans="1:39" ht="15" customHeight="1">
      <c r="A60" s="121"/>
      <c r="B60" s="121"/>
      <c r="C60" s="121"/>
      <c r="D60" s="121"/>
      <c r="E60" s="132"/>
      <c r="F60" s="121"/>
      <c r="G60" s="121"/>
      <c r="H60" s="121"/>
      <c r="I60" s="121"/>
      <c r="J60" s="121"/>
      <c r="K60" s="121"/>
      <c r="L60" s="121"/>
      <c r="M60" s="121"/>
      <c r="N60" s="121"/>
      <c r="O60" s="121"/>
      <c r="P60" s="133"/>
      <c r="Q60" s="121"/>
      <c r="R60" s="133"/>
      <c r="S60" s="121"/>
      <c r="T60" s="121"/>
      <c r="U60" s="121"/>
      <c r="V60" s="132"/>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sheetData>
  <mergeCells count="4">
    <mergeCell ref="A1:AA1"/>
    <mergeCell ref="A2:E2"/>
    <mergeCell ref="G2:J2"/>
    <mergeCell ref="A3:Z3"/>
  </mergeCells>
  <conditionalFormatting sqref="B5:B60">
    <cfRule type="expression" dxfId="28" priority="2">
      <formula>AND($B5&lt;&gt;"",COUNTIF(DO_NOT_READMIT,$B5)&gt;0)</formula>
    </cfRule>
  </conditionalFormatting>
  <conditionalFormatting sqref="M5:M60">
    <cfRule type="expression" dxfId="27" priority="3">
      <formula>COUNTIF(NON_CONTRACTED,$M5)&gt;0</formula>
    </cfRule>
  </conditionalFormatting>
  <conditionalFormatting sqref="AC5:AC60">
    <cfRule type="expression" dxfId="26" priority="4">
      <formula>AND($J5="Ahbra",$AC5="")</formula>
    </cfRule>
  </conditionalFormatting>
  <dataValidations count="9">
    <dataValidation type="list" allowBlank="1" sqref="G5:G60" xr:uid="{00000000-0002-0000-0700-000000000000}">
      <formula1>FACILITY</formula1>
      <formula2>0</formula2>
    </dataValidation>
    <dataValidation type="list" allowBlank="1" sqref="H5:I60" xr:uid="{00000000-0002-0000-0700-000001000000}">
      <formula1>LOC</formula1>
      <formula2>0</formula2>
    </dataValidation>
    <dataValidation type="list" allowBlank="1" sqref="J5:J60" xr:uid="{00000000-0002-0000-0700-000002000000}">
      <formula1>ACTIVE_REPS</formula1>
      <formula2>0</formula2>
    </dataValidation>
    <dataValidation type="list" allowBlank="1" sqref="K5:K60" xr:uid="{00000000-0002-0000-0700-000003000000}">
      <formula1>REF_CAT</formula1>
      <formula2>0</formula2>
    </dataValidation>
    <dataValidation type="list" allowBlank="1" sqref="M5:M60" xr:uid="{00000000-0002-0000-0700-000004000000}">
      <formula1>INSURANCE_OK</formula1>
      <formula2>0</formula2>
    </dataValidation>
    <dataValidation type="list" allowBlank="1" sqref="N5:N60" xr:uid="{00000000-0002-0000-0700-000005000000}">
      <formula1>INS_TYPE</formula1>
      <formula2>0</formula2>
    </dataValidation>
    <dataValidation type="list" allowBlank="1" sqref="AB5:AB60" xr:uid="{00000000-0002-0000-0700-000006000000}">
      <formula1>"New,Alumni,Split"</formula1>
      <formula2>0</formula2>
    </dataValidation>
    <dataValidation type="list" allowBlank="1" showErrorMessage="1" error="Pick the closer: Amy, Nelson or Matthew" sqref="AC5:AC60" xr:uid="{00000000-0002-0000-0700-000007000000}">
      <formula1>CLOSERS</formula1>
      <formula2>0</formula2>
    </dataValidation>
    <dataValidation type="list" allowBlank="1" sqref="F5:F60" xr:uid="{00000000-0002-0000-07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43"/>
  <sheetViews>
    <sheetView showGridLines="0" zoomScale="140" zoomScaleNormal="140" workbookViewId="0">
      <pane ySplit="4" topLeftCell="A19" activePane="bottomLeft" state="frozen"/>
      <selection pane="bottomLeft" activeCell="D26" sqref="D26"/>
    </sheetView>
  </sheetViews>
  <sheetFormatPr defaultColWidth="0" defaultRowHeight="15" zeroHeight="1"/>
  <cols>
    <col min="1" max="1" width="9" customWidth="1"/>
    <col min="2" max="2" width="14" customWidth="1"/>
    <col min="3" max="3" width="32" customWidth="1"/>
    <col min="4" max="4" width="9" customWidth="1"/>
    <col min="5" max="5" width="12" customWidth="1"/>
    <col min="6" max="6" width="26" customWidth="1"/>
    <col min="7" max="7" width="10" customWidth="1"/>
    <col min="8" max="8" width="11" customWidth="1"/>
    <col min="9" max="9" width="13"/>
    <col min="10" max="10" width="11" customWidth="1"/>
    <col min="11" max="16384" width="13" hidden="1"/>
  </cols>
  <sheetData>
    <row r="1" spans="1:10" ht="30" customHeight="1">
      <c r="A1" s="299" t="s">
        <v>348</v>
      </c>
      <c r="B1" s="299"/>
      <c r="C1" s="299"/>
      <c r="D1" s="299"/>
      <c r="E1" s="299"/>
      <c r="F1" s="299"/>
      <c r="G1" s="299"/>
      <c r="H1" s="299"/>
      <c r="I1" s="299"/>
      <c r="J1" s="299"/>
    </row>
    <row r="2" spans="1:10" ht="15" customHeight="1">
      <c r="A2" s="149" t="s">
        <v>349</v>
      </c>
      <c r="B2" s="150" t="str">
        <f ca="1">INDEX('⚙ Lists'!$W$3:$W$10,'⚙ Lists'!$AB$8)</f>
        <v>📋 Jun 2026</v>
      </c>
      <c r="C2" s="151" t="s">
        <v>350</v>
      </c>
      <c r="D2" s="311">
        <f ca="1">SUMIF('⚙ Production Engine'!$A:$A,$B$2,'⚙ Production Engine'!$C:$C)</f>
        <v>13</v>
      </c>
      <c r="E2" s="311"/>
      <c r="F2" s="311"/>
      <c r="G2" s="312"/>
      <c r="H2" s="312"/>
      <c r="I2" s="312"/>
      <c r="J2" s="312"/>
    </row>
    <row r="3" spans="1:10" ht="15" customHeight="1"/>
    <row r="4" spans="1:10" ht="19.5" customHeight="1">
      <c r="A4" s="152" t="s">
        <v>351</v>
      </c>
      <c r="B4" s="152" t="s">
        <v>17</v>
      </c>
      <c r="C4" s="152" t="s">
        <v>72</v>
      </c>
      <c r="D4" s="152" t="s">
        <v>24</v>
      </c>
      <c r="E4" s="152" t="s">
        <v>352</v>
      </c>
      <c r="F4" s="152" t="s">
        <v>353</v>
      </c>
      <c r="G4" s="152" t="s">
        <v>27</v>
      </c>
      <c r="H4" s="152" t="s">
        <v>25</v>
      </c>
      <c r="I4" s="153"/>
      <c r="J4" s="153"/>
    </row>
    <row r="5" spans="1:10" ht="18" customHeight="1">
      <c r="A5" s="154" t="str">
        <f ca="1">IF(D5=0,"—",IF(RANK(D5,$D$5:$D$9)=1,"🥇",IF(RANK(D5,$D$5:$D$9)=2,"🥈",IF(RANK(D5,$D$5:$D$9)=3,"🥉",RANK(D5,$D$5:$D$9)))))</f>
        <v>🥇</v>
      </c>
      <c r="B5" s="155" t="s">
        <v>101</v>
      </c>
      <c r="C5" s="154" t="s">
        <v>354</v>
      </c>
      <c r="D5" s="154">
        <f ca="1">SUMIFS('⚙ Production Engine'!$C:$C,'⚙ Production Engine'!$A:$A,$B$2,'⚙ Production Engine'!$B:$B,$B5)</f>
        <v>5</v>
      </c>
      <c r="E5" s="154">
        <v>10</v>
      </c>
      <c r="F5" s="154" t="str">
        <f ca="1">REPT("█",MIN(20,ROUND(D5/E5*20,0)))&amp;REPT("░",20-MIN(20,ROUND(D5/E5*20,0)))&amp;" "&amp;TEXT(D5/E5,"0%")</f>
        <v>██████████░░░░░░░░░░ 50%</v>
      </c>
      <c r="G5" s="156">
        <f ca="1">IFERROR(SUMIFS('⚙ Production Engine'!$D:$D,'⚙ Production Engine'!$A:$A,$B$2,'⚙ Production Engine'!$B:$B,$B5)/D5,"—")</f>
        <v>1</v>
      </c>
      <c r="H5" s="157" t="str">
        <f ca="1">IF(D5&gt;=E5,"🔥 Goal!",IF(D5&gt;=E5*0.7,"On track","Behind"))</f>
        <v>Behind</v>
      </c>
      <c r="I5" s="158"/>
      <c r="J5" s="159"/>
    </row>
    <row r="6" spans="1:10" ht="18" customHeight="1">
      <c r="A6" s="160" t="str">
        <f ca="1">IF(D6=0,"—",IF(RANK(D6,$D$5:$D$9)=1,"🥇",IF(RANK(D6,$D$5:$D$9)=2,"🥈",IF(RANK(D6,$D$5:$D$9)=3,"🥉",RANK(D6,$D$5:$D$9)))))</f>
        <v>🥉</v>
      </c>
      <c r="B6" s="161" t="s">
        <v>129</v>
      </c>
      <c r="C6" s="160" t="s">
        <v>354</v>
      </c>
      <c r="D6" s="160">
        <f ca="1">SUMIFS('⚙ Production Engine'!$C:$C,'⚙ Production Engine'!$A:$A,$B$2,'⚙ Production Engine'!$B:$B,$B6)</f>
        <v>2</v>
      </c>
      <c r="E6" s="160">
        <v>8</v>
      </c>
      <c r="F6" s="160" t="str">
        <f ca="1">REPT("█",MIN(20,ROUND(D6/E6*20,0)))&amp;REPT("░",20-MIN(20,ROUND(D6/E6*20,0)))&amp;" "&amp;TEXT(D6/E6,"0%")</f>
        <v>█████░░░░░░░░░░░░░░░ 25%</v>
      </c>
      <c r="G6" s="162">
        <f ca="1">IFERROR(SUMIFS('⚙ Production Engine'!$D:$D,'⚙ Production Engine'!$A:$A,$B$2,'⚙ Production Engine'!$B:$B,$B6)/D6,"—")</f>
        <v>1</v>
      </c>
      <c r="H6" s="163" t="str">
        <f ca="1">IF(D6&gt;=E6,"🔥 Goal!",IF(D6&gt;=E6*0.7,"On track","Behind"))</f>
        <v>Behind</v>
      </c>
      <c r="I6" s="158"/>
      <c r="J6" s="159"/>
    </row>
    <row r="7" spans="1:10" ht="18" customHeight="1">
      <c r="A7" s="154" t="str">
        <f ca="1">IF(D7=0,"—",IF(RANK(D7,$D$5:$D$9)=1,"🥇",IF(RANK(D7,$D$5:$D$9)=2,"🥈",IF(RANK(D7,$D$5:$D$9)=3,"🥉",RANK(D7,$D$5:$D$9)))))</f>
        <v>🥈</v>
      </c>
      <c r="B7" s="155" t="s">
        <v>107</v>
      </c>
      <c r="C7" s="154" t="s">
        <v>355</v>
      </c>
      <c r="D7" s="154">
        <f ca="1">SUMIFS('⚙ Production Engine'!$C:$C,'⚙ Production Engine'!$A:$A,$B$2,'⚙ Production Engine'!$B:$B,$B7)</f>
        <v>4</v>
      </c>
      <c r="E7" s="154">
        <v>6</v>
      </c>
      <c r="F7" s="154" t="str">
        <f ca="1">REPT("█",MIN(20,ROUND(D7/E7*20,0)))&amp;REPT("░",20-MIN(20,ROUND(D7/E7*20,0)))&amp;" "&amp;TEXT(D7/E7,"0%")</f>
        <v>█████████████░░░░░░░ 67%</v>
      </c>
      <c r="G7" s="156">
        <f ca="1">IFERROR(SUMIFS('⚙ Production Engine'!$D:$D,'⚙ Production Engine'!$A:$A,$B$2,'⚙ Production Engine'!$B:$B,$B7)/D7,"—")</f>
        <v>0.25</v>
      </c>
      <c r="H7" s="157" t="str">
        <f ca="1">IF(D7&gt;=E7,"🔥 Goal!",IF(D7&gt;=E7*0.7,"On track","Behind"))</f>
        <v>Behind</v>
      </c>
      <c r="I7" s="158"/>
      <c r="J7" s="159"/>
    </row>
    <row r="8" spans="1:10" ht="18" customHeight="1">
      <c r="A8" s="160" t="str">
        <f ca="1">IF(D8=0,"—",IF(RANK(D8,$D$5:$D$9)=1,"🥇",IF(RANK(D8,$D$5:$D$9)=2,"🥈",IF(RANK(D8,$D$5:$D$9)=3,"🥉",RANK(D8,$D$5:$D$9)))))</f>
        <v>—</v>
      </c>
      <c r="B8" s="161" t="s">
        <v>252</v>
      </c>
      <c r="C8" s="160" t="s">
        <v>356</v>
      </c>
      <c r="D8" s="160">
        <f ca="1">SUMIFS('⚙ Production Engine'!$C:$C,'⚙ Production Engine'!$A:$A,$B$2,'⚙ Production Engine'!$B:$B,$B8)</f>
        <v>0</v>
      </c>
      <c r="E8" s="160"/>
      <c r="F8" s="160" t="str">
        <f ca="1">IF(D8=0,"",REPT("█",MIN(20,D8*2)))</f>
        <v/>
      </c>
      <c r="G8" s="162" t="str">
        <f ca="1">IFERROR(SUMIFS('⚙ Production Engine'!$D:$D,'⚙ Production Engine'!$A:$A,$B$2,'⚙ Production Engine'!$B:$B,$B8)/D8,"—")</f>
        <v>—</v>
      </c>
      <c r="H8" s="163" t="str">
        <f>""</f>
        <v/>
      </c>
      <c r="I8" s="158"/>
      <c r="J8" s="159"/>
    </row>
    <row r="9" spans="1:10" ht="18" customHeight="1">
      <c r="A9" s="154" t="str">
        <f ca="1">IF(D9=0,"—",IF(RANK(D9,$D$5:$D$9)=1,"🥇",IF(RANK(D9,$D$5:$D$9)=2,"🥈",IF(RANK(D9,$D$5:$D$9)=3,"🥉",RANK(D9,$D$5:$D$9)))))</f>
        <v>🥉</v>
      </c>
      <c r="B9" s="155" t="s">
        <v>135</v>
      </c>
      <c r="C9" s="154" t="s">
        <v>357</v>
      </c>
      <c r="D9" s="154">
        <f ca="1">SUMIFS('⚙ Production Engine'!$C:$C,'⚙ Production Engine'!$A:$A,$B$2,'⚙ Production Engine'!$B:$B,$B9)</f>
        <v>2</v>
      </c>
      <c r="E9" s="154"/>
      <c r="F9" s="154" t="str">
        <f ca="1">IF(D9=0,"",REPT("█",MIN(20,D9*2)))</f>
        <v>████</v>
      </c>
      <c r="G9" s="156">
        <f ca="1">IFERROR(SUMIFS('⚙ Production Engine'!$D:$D,'⚙ Production Engine'!$A:$A,$B$2,'⚙ Production Engine'!$B:$B,$B9)/D9,"—")</f>
        <v>0.5</v>
      </c>
      <c r="H9" s="157" t="str">
        <f>""</f>
        <v/>
      </c>
      <c r="I9" s="158"/>
      <c r="J9" s="159"/>
    </row>
    <row r="10" spans="1:10" ht="15" customHeight="1">
      <c r="A10" s="164"/>
      <c r="B10" s="165" t="s">
        <v>358</v>
      </c>
      <c r="C10" s="164"/>
      <c r="D10" s="164">
        <f ca="1">SUM(D5:D9)</f>
        <v>13</v>
      </c>
      <c r="E10" s="164">
        <v>28</v>
      </c>
      <c r="F10" s="164" t="str">
        <f ca="1">REPT("█",MIN(20,ROUND(D10/E10*20,0)))&amp;REPT("░",20-MIN(20,ROUND(D10/E10*20,0)))&amp;" "&amp;TEXT(D10/E10,"0%")</f>
        <v>█████████░░░░░░░░░░░ 46%</v>
      </c>
      <c r="G10" s="164"/>
      <c r="H10" s="164"/>
      <c r="I10" s="166"/>
      <c r="J10" s="167"/>
    </row>
    <row r="11" spans="1:10" ht="15" customHeight="1"/>
    <row r="12" spans="1:10" ht="18.75" customHeight="1">
      <c r="A12" s="310" t="s">
        <v>359</v>
      </c>
      <c r="B12" s="310"/>
      <c r="C12" s="310"/>
      <c r="D12" s="310"/>
      <c r="E12" s="310"/>
      <c r="F12" s="310"/>
      <c r="G12" s="310"/>
      <c r="H12" s="310"/>
      <c r="I12" s="310"/>
      <c r="J12" s="310"/>
    </row>
    <row r="13" spans="1:10" ht="15" customHeight="1">
      <c r="A13" s="340" t="s">
        <v>360</v>
      </c>
      <c r="B13" s="340"/>
      <c r="C13" s="340"/>
      <c r="D13" s="309" t="str">
        <f ca="1">INDEX($B$5:$B$9,MATCH(MAX($D$5:$D$9),$D$5:$D$9,0))&amp;" ("&amp;MAX($D$5:$D$9)&amp;" admits)"</f>
        <v>Amy (5 admits)</v>
      </c>
      <c r="E13" s="309"/>
      <c r="F13" s="309"/>
      <c r="G13" s="309"/>
      <c r="H13" s="309"/>
      <c r="I13" s="309"/>
      <c r="J13" s="309"/>
    </row>
    <row r="14" spans="1:10" ht="15" customHeight="1">
      <c r="A14" s="340" t="s">
        <v>361</v>
      </c>
      <c r="B14" s="340"/>
      <c r="C14" s="340"/>
      <c r="D14" s="309" t="str">
        <f ca="1">IFERROR(INDEX($B$5:$B$9,MATCH(MAX($G$5:$G$9),$G$5:$G$9,0))&amp;" ("&amp;TEXT(MAX($G$5:$G$9),"0%")&amp;")","—")</f>
        <v>Amy (100%)</v>
      </c>
      <c r="E14" s="309"/>
      <c r="F14" s="309"/>
      <c r="G14" s="309"/>
      <c r="H14" s="309"/>
      <c r="I14" s="309"/>
      <c r="J14" s="309"/>
    </row>
    <row r="15" spans="1:10" ht="15" customHeight="1">
      <c r="A15" s="340"/>
      <c r="B15" s="340"/>
      <c r="C15" s="340"/>
      <c r="D15" s="309"/>
      <c r="E15" s="309"/>
      <c r="F15" s="309"/>
      <c r="G15" s="309"/>
      <c r="H15" s="309"/>
      <c r="I15" s="309"/>
      <c r="J15" s="309"/>
    </row>
    <row r="16" spans="1:10" ht="15" customHeight="1"/>
    <row r="17" spans="1:10" ht="18.75" customHeight="1">
      <c r="A17" s="310" t="s">
        <v>362</v>
      </c>
      <c r="B17" s="310"/>
      <c r="C17" s="310"/>
      <c r="D17" s="310"/>
      <c r="E17" s="310"/>
      <c r="F17" s="310"/>
      <c r="G17" s="310"/>
      <c r="H17" s="310"/>
      <c r="I17" s="310"/>
      <c r="J17" s="310"/>
    </row>
    <row r="18" spans="1:10" ht="15" customHeight="1">
      <c r="A18" s="168" t="s">
        <v>17</v>
      </c>
      <c r="B18" s="168" t="s">
        <v>363</v>
      </c>
      <c r="C18" s="168" t="s">
        <v>364</v>
      </c>
      <c r="D18" s="168" t="s">
        <v>365</v>
      </c>
      <c r="E18" s="168" t="s">
        <v>366</v>
      </c>
    </row>
    <row r="19" spans="1:10" ht="15" customHeight="1">
      <c r="A19" s="169" t="s">
        <v>101</v>
      </c>
      <c r="B19" s="170">
        <f>'📈 YTD Rollup'!N5</f>
        <v>40</v>
      </c>
      <c r="C19" s="170">
        <f>'📈 YTD Rollup'!O5</f>
        <v>6.7</v>
      </c>
      <c r="D19" s="170">
        <f>'📈 YTD Rollup'!P5</f>
        <v>80</v>
      </c>
      <c r="E19" s="170"/>
    </row>
    <row r="20" spans="1:10" ht="15" customHeight="1">
      <c r="A20" s="169" t="s">
        <v>129</v>
      </c>
      <c r="B20" s="170">
        <f>'📈 YTD Rollup'!N6</f>
        <v>33</v>
      </c>
      <c r="C20" s="170">
        <f>'📈 YTD Rollup'!O6</f>
        <v>5.5</v>
      </c>
      <c r="D20" s="170">
        <f>'📈 YTD Rollup'!P6</f>
        <v>66</v>
      </c>
      <c r="E20" s="170"/>
    </row>
    <row r="21" spans="1:10" ht="15" customHeight="1">
      <c r="A21" s="169" t="s">
        <v>107</v>
      </c>
      <c r="B21" s="170">
        <f>'📈 YTD Rollup'!N7</f>
        <v>10</v>
      </c>
      <c r="C21" s="170">
        <f>'📈 YTD Rollup'!O7</f>
        <v>1.7</v>
      </c>
      <c r="D21" s="170">
        <f>'📈 YTD Rollup'!P7</f>
        <v>20</v>
      </c>
      <c r="E21" s="170"/>
    </row>
    <row r="22" spans="1:10" ht="15" customHeight="1">
      <c r="A22" s="169" t="s">
        <v>252</v>
      </c>
      <c r="B22" s="170">
        <f>'📈 YTD Rollup'!N8</f>
        <v>24</v>
      </c>
      <c r="C22" s="170">
        <f>'📈 YTD Rollup'!O8</f>
        <v>4</v>
      </c>
      <c r="D22" s="170">
        <f>'📈 YTD Rollup'!P8</f>
        <v>48</v>
      </c>
      <c r="E22" s="170"/>
    </row>
    <row r="23" spans="1:10" ht="15" customHeight="1">
      <c r="A23" s="169" t="s">
        <v>135</v>
      </c>
      <c r="B23" s="170">
        <f>'📈 YTD Rollup'!N9</f>
        <v>2</v>
      </c>
      <c r="C23" s="170">
        <f>'📈 YTD Rollup'!O9</f>
        <v>0.3</v>
      </c>
      <c r="D23" s="170">
        <f>'📈 YTD Rollup'!P9</f>
        <v>4</v>
      </c>
      <c r="E23" s="170"/>
    </row>
    <row r="24" spans="1:10" ht="15" hidden="1" customHeight="1"/>
    <row r="25" spans="1:10" ht="15" hidden="1" customHeight="1">
      <c r="A25" s="171"/>
    </row>
    <row r="26" spans="1:10" ht="25.5" hidden="1" customHeight="1">
      <c r="A26" s="172"/>
      <c r="B26" s="172"/>
      <c r="C26" s="172"/>
      <c r="D26" s="172"/>
    </row>
    <row r="27" spans="1:10" ht="15" hidden="1" customHeight="1">
      <c r="A27" s="173"/>
      <c r="B27" s="174"/>
      <c r="C27" s="174"/>
      <c r="D27" s="174"/>
    </row>
    <row r="28" spans="1:10" ht="15" hidden="1" customHeight="1">
      <c r="A28" s="175"/>
      <c r="B28" s="176"/>
      <c r="C28" s="176"/>
      <c r="D28" s="176"/>
    </row>
    <row r="29" spans="1:10" ht="15" hidden="1" customHeight="1">
      <c r="A29" s="173"/>
      <c r="B29" s="174"/>
      <c r="C29" s="174"/>
      <c r="D29" s="174"/>
    </row>
    <row r="30" spans="1:10" ht="15" hidden="1" customHeight="1">
      <c r="A30" s="175"/>
      <c r="B30" s="176"/>
      <c r="C30" s="176"/>
      <c r="D30" s="176"/>
    </row>
    <row r="31" spans="1:10" ht="15" hidden="1" customHeight="1">
      <c r="A31" s="177"/>
      <c r="B31" s="174"/>
      <c r="C31" s="174"/>
      <c r="D31" s="174"/>
    </row>
    <row r="32" spans="1:10" ht="15" hidden="1" customHeight="1">
      <c r="A32" s="178"/>
      <c r="B32" s="176"/>
      <c r="C32" s="176"/>
      <c r="D32" s="176"/>
    </row>
    <row r="33" spans="1:4" ht="15" hidden="1" customHeight="1">
      <c r="A33" s="177"/>
      <c r="B33" s="174"/>
      <c r="C33" s="174"/>
      <c r="D33" s="174"/>
    </row>
    <row r="34" spans="1:4" ht="15" hidden="1" customHeight="1">
      <c r="A34" s="178"/>
      <c r="B34" s="176"/>
      <c r="C34" s="176"/>
      <c r="D34" s="176"/>
    </row>
    <row r="35" spans="1:4" ht="15" hidden="1" customHeight="1">
      <c r="A35" s="177"/>
      <c r="B35" s="174"/>
      <c r="C35" s="174"/>
      <c r="D35" s="174"/>
    </row>
    <row r="36" spans="1:4" ht="15" hidden="1" customHeight="1">
      <c r="A36" s="178"/>
      <c r="B36" s="176"/>
      <c r="C36" s="176"/>
      <c r="D36" s="176"/>
    </row>
    <row r="37" spans="1:4" ht="15" hidden="1" customHeight="1">
      <c r="A37" s="177"/>
      <c r="B37" s="174"/>
      <c r="C37" s="174"/>
      <c r="D37" s="174"/>
    </row>
    <row r="38" spans="1:4" ht="15" hidden="1" customHeight="1">
      <c r="A38" s="178"/>
      <c r="B38" s="176"/>
      <c r="C38" s="176"/>
      <c r="D38" s="176"/>
    </row>
    <row r="39" spans="1:4" ht="15" hidden="1" customHeight="1">
      <c r="A39" s="179"/>
      <c r="B39" s="180"/>
      <c r="C39" s="180"/>
      <c r="D39" s="180"/>
    </row>
    <row r="40" spans="1:4" ht="15" hidden="1" customHeight="1">
      <c r="A40" s="181"/>
    </row>
    <row r="41" spans="1:4" ht="15" hidden="1" customHeight="1"/>
    <row r="42" spans="1:4" ht="15" hidden="1" customHeight="1"/>
    <row r="43" spans="1:4" ht="15" hidden="1" customHeight="1"/>
  </sheetData>
  <sheetProtection sheet="1" sort="0" autoFilter="0"/>
  <mergeCells count="11">
    <mergeCell ref="A1:J1"/>
    <mergeCell ref="D2:F2"/>
    <mergeCell ref="G2:J2"/>
    <mergeCell ref="A12:J12"/>
    <mergeCell ref="A13:C13"/>
    <mergeCell ref="D13:J13"/>
    <mergeCell ref="A14:C14"/>
    <mergeCell ref="D14:J14"/>
    <mergeCell ref="A15:C15"/>
    <mergeCell ref="D15:J15"/>
    <mergeCell ref="A17:J17"/>
  </mergeCells>
  <conditionalFormatting sqref="A5:A9">
    <cfRule type="expression" dxfId="25" priority="2">
      <formula>$A5="🥇"</formula>
    </cfRule>
  </conditionalFormatting>
  <conditionalFormatting sqref="A5:H9">
    <cfRule type="expression" dxfId="24" priority="4">
      <formula>AND($D5&lt;&gt;0,$D5=MAX($D$5:$D$9))</formula>
    </cfRule>
  </conditionalFormatting>
  <conditionalFormatting sqref="I5:I9">
    <cfRule type="colorScale" priority="3">
      <colorScale>
        <cfvo type="min"/>
        <cfvo type="max"/>
        <color rgb="FFFFFFFF"/>
        <color rgb="FF70AD47"/>
      </colorScale>
    </cfRule>
  </conditionalFormatting>
  <dataValidations count="1">
    <dataValidation type="list" sqref="B2" xr:uid="{00000000-0002-0000-0800-000000000000}">
      <formula1>MONTHS</formula1>
      <formula2>0</formula2>
    </dataValidation>
  </dataValidations>
  <printOptions horizontalCentered="1"/>
  <pageMargins left="0.75" right="0.75" top="1" bottom="1"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234"/>
  <sheetViews>
    <sheetView showGridLines="0" zoomScale="140" zoomScaleNormal="140" workbookViewId="0"/>
  </sheetViews>
  <sheetFormatPr defaultColWidth="0" defaultRowHeight="15"/>
  <cols>
    <col min="1" max="1" width="46" customWidth="1"/>
    <col min="2" max="5" width="14" customWidth="1"/>
    <col min="6" max="6" width="13" customWidth="1"/>
    <col min="7" max="16384" width="13" hidden="1"/>
  </cols>
  <sheetData>
    <row r="1" spans="1:6" ht="15.75" customHeight="1">
      <c r="B1" s="341" t="s">
        <v>367</v>
      </c>
      <c r="C1" s="341"/>
      <c r="D1" s="341"/>
      <c r="E1" s="341"/>
      <c r="F1" s="341"/>
    </row>
    <row r="3" spans="1:6" ht="15" customHeight="1">
      <c r="A3" s="342" t="s">
        <v>368</v>
      </c>
      <c r="B3" s="342"/>
      <c r="C3" s="342"/>
      <c r="D3" s="342"/>
      <c r="E3" s="342"/>
      <c r="F3" s="342"/>
    </row>
    <row r="4" spans="1:6" ht="15" customHeight="1">
      <c r="A4" s="183" t="s">
        <v>35</v>
      </c>
      <c r="B4" s="183" t="s">
        <v>36</v>
      </c>
      <c r="C4" s="183" t="s">
        <v>37</v>
      </c>
      <c r="D4" s="183" t="s">
        <v>38</v>
      </c>
      <c r="E4" s="183" t="s">
        <v>369</v>
      </c>
    </row>
    <row r="5" spans="1:6" ht="15" customHeight="1">
      <c r="A5" s="184" t="s">
        <v>39</v>
      </c>
      <c r="B5" s="185">
        <f>COUNTIF('🛏 HP Bed Board'!B10:B23,"Occupied")</f>
        <v>11</v>
      </c>
      <c r="C5" s="185">
        <v>14</v>
      </c>
      <c r="D5" s="185">
        <f>COUNTIF('🛏 HP Bed Board'!B10:B23,"Open")</f>
        <v>3</v>
      </c>
      <c r="E5" s="186">
        <f>IFERROR(B5/C5,0)</f>
        <v>0.7857142857142857</v>
      </c>
    </row>
    <row r="6" spans="1:6" ht="15" customHeight="1">
      <c r="A6" s="184" t="s">
        <v>40</v>
      </c>
      <c r="B6" s="185">
        <f>(COUNTIF('🛏 HPE Bed Board'!B11:B16,"Occupied")+COUNTIF('🛏 HPE Bed Board'!B18:B23,"Occupied"))</f>
        <v>9</v>
      </c>
      <c r="C6" s="185">
        <v>12</v>
      </c>
      <c r="D6" s="185">
        <f>(COUNTIF('🛏 HPE Bed Board'!B11:B16,"Open")+COUNTIF('🛏 HPE Bed Board'!B18:B23,"Open"))</f>
        <v>2</v>
      </c>
      <c r="E6" s="186">
        <f>IFERROR(B6/C6,0)</f>
        <v>0.75</v>
      </c>
    </row>
    <row r="7" spans="1:6" ht="15" customHeight="1">
      <c r="A7" s="187" t="s">
        <v>41</v>
      </c>
      <c r="B7" s="188">
        <f>B5+B6</f>
        <v>20</v>
      </c>
      <c r="C7" s="188">
        <f>C5+C6</f>
        <v>26</v>
      </c>
      <c r="D7" s="188">
        <f>D5+D6</f>
        <v>5</v>
      </c>
      <c r="E7" s="189">
        <f>IFERROR(B7/C7,0)</f>
        <v>0.76923076923076927</v>
      </c>
    </row>
    <row r="9" spans="1:6" ht="15" customHeight="1">
      <c r="A9" s="190" t="s">
        <v>370</v>
      </c>
    </row>
    <row r="10" spans="1:6" ht="15" customHeight="1">
      <c r="A10" s="184" t="s">
        <v>371</v>
      </c>
      <c r="B10" s="191">
        <v>1150</v>
      </c>
    </row>
    <row r="11" spans="1:6" ht="15" customHeight="1">
      <c r="A11" s="184" t="s">
        <v>372</v>
      </c>
      <c r="B11" s="185">
        <v>30</v>
      </c>
    </row>
    <row r="12" spans="1:6" ht="15" customHeight="1">
      <c r="A12" s="192" t="s">
        <v>44</v>
      </c>
      <c r="B12" s="193">
        <f>D7*B10*B11</f>
        <v>172500</v>
      </c>
    </row>
    <row r="13" spans="1:6" ht="15" customHeight="1">
      <c r="A13" s="184" t="s">
        <v>45</v>
      </c>
      <c r="B13" s="191">
        <f>B7*B10*B11</f>
        <v>690000</v>
      </c>
    </row>
    <row r="15" spans="1:6" ht="15" customHeight="1">
      <c r="A15" s="342" t="str">
        <f ca="1">"  THIS MONTH  —  PRODUCTION BY REP    ·    "&amp;'🏆 Leaderboard'!$B$2&amp;"    (change month on the Leaderboard)"</f>
        <v xml:space="preserve">  THIS MONTH  —  PRODUCTION BY REP    ·    📋 Jun 2026    (change month on the Leaderboard)</v>
      </c>
      <c r="B15" s="342"/>
      <c r="C15" s="342"/>
      <c r="D15" s="342"/>
      <c r="E15" s="342"/>
      <c r="F15" s="342"/>
    </row>
    <row r="16" spans="1:6" ht="15" customHeight="1">
      <c r="A16" s="183" t="s">
        <v>17</v>
      </c>
      <c r="B16" s="183" t="s">
        <v>24</v>
      </c>
      <c r="C16" s="183" t="s">
        <v>373</v>
      </c>
      <c r="D16" s="183"/>
    </row>
    <row r="17" spans="1:6" ht="15" customHeight="1">
      <c r="A17" s="184" t="s">
        <v>101</v>
      </c>
      <c r="B17" s="185">
        <f ca="1">SUMIFS('⚙ Production Engine'!$C:$C,'⚙ Production Engine'!$A:$A,'🏆 Leaderboard'!$B$2,'⚙ Production Engine'!$B:$B,$A17)</f>
        <v>5</v>
      </c>
      <c r="C17" s="191">
        <f ca="1">SUMIFS('⚙ Production Engine'!$J:$J,'⚙ Production Engine'!$A:$A,'🏆 Leaderboard'!$B$2,'⚙ Production Engine'!$B:$B,$A17)</f>
        <v>0</v>
      </c>
      <c r="D17" s="194"/>
    </row>
    <row r="18" spans="1:6" ht="15" customHeight="1">
      <c r="A18" s="184" t="s">
        <v>129</v>
      </c>
      <c r="B18" s="185">
        <f ca="1">SUMIFS('⚙ Production Engine'!$C:$C,'⚙ Production Engine'!$A:$A,'🏆 Leaderboard'!$B$2,'⚙ Production Engine'!$B:$B,$A18)</f>
        <v>2</v>
      </c>
      <c r="C18" s="191">
        <f ca="1">SUMIFS('⚙ Production Engine'!$J:$J,'⚙ Production Engine'!$A:$A,'🏆 Leaderboard'!$B$2,'⚙ Production Engine'!$B:$B,$A18)</f>
        <v>0</v>
      </c>
      <c r="D18" s="194"/>
    </row>
    <row r="19" spans="1:6" ht="15" customHeight="1">
      <c r="A19" s="184" t="s">
        <v>107</v>
      </c>
      <c r="B19" s="185">
        <f ca="1">SUMIFS('⚙ Production Engine'!$C:$C,'⚙ Production Engine'!$A:$A,'🏆 Leaderboard'!$B$2,'⚙ Production Engine'!$B:$B,$A19)</f>
        <v>4</v>
      </c>
      <c r="C19" s="191">
        <f ca="1">SUMIFS('⚙ Production Engine'!$J:$J,'⚙ Production Engine'!$A:$A,'🏆 Leaderboard'!$B$2,'⚙ Production Engine'!$B:$B,$A19)</f>
        <v>0</v>
      </c>
      <c r="D19" s="194"/>
    </row>
    <row r="20" spans="1:6" ht="15" customHeight="1">
      <c r="A20" s="184" t="s">
        <v>252</v>
      </c>
      <c r="B20" s="185">
        <f ca="1">SUMIFS('⚙ Production Engine'!$C:$C,'⚙ Production Engine'!$A:$A,'🏆 Leaderboard'!$B$2,'⚙ Production Engine'!$B:$B,$A20)</f>
        <v>0</v>
      </c>
      <c r="C20" s="191">
        <f ca="1">SUMIFS('⚙ Production Engine'!$J:$J,'⚙ Production Engine'!$A:$A,'🏆 Leaderboard'!$B$2,'⚙ Production Engine'!$B:$B,$A20)</f>
        <v>0</v>
      </c>
      <c r="D20" s="194"/>
    </row>
    <row r="21" spans="1:6" ht="15" customHeight="1">
      <c r="A21" s="187" t="s">
        <v>358</v>
      </c>
      <c r="B21" s="188">
        <f ca="1">SUM(B17:B20)</f>
        <v>11</v>
      </c>
      <c r="C21" s="195">
        <f ca="1">SUM(C17:C20)</f>
        <v>0</v>
      </c>
      <c r="D21" s="196"/>
    </row>
    <row r="23" spans="1:6" ht="15" customHeight="1">
      <c r="A23" s="342" t="s">
        <v>374</v>
      </c>
      <c r="B23" s="342"/>
      <c r="C23" s="342"/>
      <c r="D23" s="342"/>
      <c r="E23" s="342"/>
      <c r="F23" s="342"/>
    </row>
    <row r="24" spans="1:6" ht="15" customHeight="1">
      <c r="A24" s="184" t="s">
        <v>47</v>
      </c>
      <c r="B24" s="185">
        <f>COUNTIF('🔥 Pipeline'!$D$5:$D$40,"Scheduled")</f>
        <v>1</v>
      </c>
    </row>
    <row r="25" spans="1:6" ht="15" customHeight="1">
      <c r="A25" s="184" t="s">
        <v>48</v>
      </c>
      <c r="B25" s="185">
        <f>COUNTIF('🔥 Pipeline'!$D$5:$D$40,"Prospect")</f>
        <v>6</v>
      </c>
    </row>
    <row r="26" spans="1:6" ht="15" customHeight="1">
      <c r="A26" s="184" t="s">
        <v>49</v>
      </c>
      <c r="B26" s="185">
        <f>COUNTIF('🔥 Pipeline'!$D$5:$D$40,"Lead")</f>
        <v>5</v>
      </c>
    </row>
    <row r="27" spans="1:6" ht="15" customHeight="1">
      <c r="A27" s="184" t="s">
        <v>50</v>
      </c>
      <c r="B27" s="185">
        <f>COUNTIF('🔥 Pipeline'!$D$5:$D$40,"Hold")</f>
        <v>0</v>
      </c>
    </row>
    <row r="28" spans="1:6" ht="15" customHeight="1">
      <c r="A28" s="187" t="s">
        <v>51</v>
      </c>
      <c r="B28" s="188">
        <f>SUM(B24:B27)</f>
        <v>12</v>
      </c>
    </row>
    <row r="29" spans="1:6" ht="15" customHeight="1">
      <c r="A29" s="192" t="s">
        <v>52</v>
      </c>
      <c r="B29" s="197">
        <f>COUNTIF('🔥 Pipeline'!$B$5:$B$40,"Amos")</f>
        <v>0</v>
      </c>
    </row>
    <row r="31" spans="1:6" ht="15" customHeight="1">
      <c r="A31" s="342" t="s">
        <v>375</v>
      </c>
      <c r="B31" s="342"/>
      <c r="C31" s="342"/>
      <c r="D31" s="342"/>
      <c r="E31" s="342"/>
      <c r="F31" s="342"/>
    </row>
    <row r="32" spans="1:6" ht="15" customHeight="1">
      <c r="A32" s="184" t="s">
        <v>376</v>
      </c>
      <c r="B32" s="186">
        <f ca="1">IFERROR(COUNTIF(CHOOSE('⚙ Lists'!$AB$6,'📋 May 2026'!$M$5:$M$60,'📋 Jun 2026'!$M$5:$M$60,'📋 Jul 2026'!$M$5:$M$60,'📋 Aug 2026'!$M$5:$M$60,'📋 Sep 2026'!$M$5:$M$60,'📋 Oct 2026'!$M$5:$M$60,'📋 Nov 2026'!$M$5:$M$60,'📋 Dec 2026'!$M$5:$M$60),"Blue Shield CA")/COUNTIF(CHOOSE('⚙ Lists'!$AB$6,'📋 May 2026'!$B$5:$B$60,'📋 Jun 2026'!$B$5:$B$60,'📋 Jul 2026'!$B$5:$B$60,'📋 Aug 2026'!$B$5:$B$60,'📋 Sep 2026'!$B$5:$B$60,'📋 Oct 2026'!$B$5:$B$60,'📋 Nov 2026'!$B$5:$B$60,'📋 Dec 2026'!$B$5:$B$60),"?*"),0)</f>
        <v>0.30769230769230771</v>
      </c>
    </row>
    <row r="33" spans="1:2" ht="15" customHeight="1">
      <c r="A33" s="184" t="s">
        <v>55</v>
      </c>
      <c r="B33" s="185">
        <f>SUMPRODUCT(COUNTIF(NON_CONTRACTED,'🔥 Pipeline'!$I$5:$I$40))</f>
        <v>0</v>
      </c>
    </row>
    <row r="34" spans="1:2" ht="15" customHeight="1">
      <c r="A34" s="184" t="s">
        <v>56</v>
      </c>
      <c r="B34" s="185">
        <v>2</v>
      </c>
    </row>
    <row r="35" spans="1:2" ht="15" hidden="1" customHeight="1"/>
    <row r="36" spans="1:2" ht="15" hidden="1" customHeight="1"/>
    <row r="37" spans="1:2" ht="15" hidden="1" customHeight="1"/>
    <row r="38" spans="1:2" ht="15" hidden="1" customHeight="1"/>
    <row r="39" spans="1:2" ht="15" hidden="1" customHeight="1"/>
    <row r="40" spans="1:2" ht="15" hidden="1" customHeight="1"/>
    <row r="41" spans="1:2" ht="15" hidden="1" customHeight="1"/>
    <row r="42" spans="1:2" ht="15" hidden="1" customHeight="1"/>
    <row r="43" spans="1:2" ht="15" hidden="1" customHeight="1"/>
    <row r="44" spans="1:2" ht="15" hidden="1" customHeight="1"/>
    <row r="45" spans="1:2" ht="15" hidden="1" customHeight="1"/>
    <row r="46" spans="1:2" ht="15" hidden="1" customHeight="1"/>
    <row r="47" spans="1:2" ht="15" hidden="1" customHeight="1"/>
    <row r="48" spans="1:2"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sheetData>
  <mergeCells count="5">
    <mergeCell ref="B1:F1"/>
    <mergeCell ref="A3:F3"/>
    <mergeCell ref="A15:F15"/>
    <mergeCell ref="A23:F23"/>
    <mergeCell ref="A31:F31"/>
  </mergeCells>
  <pageMargins left="0.75" right="0.75" top="1" bottom="1"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244"/>
  <sheetViews>
    <sheetView showGridLines="0" zoomScale="140" zoomScaleNormal="140" workbookViewId="0"/>
  </sheetViews>
  <sheetFormatPr defaultColWidth="0" defaultRowHeight="15"/>
  <cols>
    <col min="1" max="1" width="4" customWidth="1"/>
    <col min="2" max="2" width="104" customWidth="1"/>
    <col min="3" max="16384" width="13" hidden="1"/>
  </cols>
  <sheetData>
    <row r="2" spans="1:2" ht="30" customHeight="1">
      <c r="A2" s="184"/>
      <c r="B2" s="198" t="s">
        <v>377</v>
      </c>
    </row>
    <row r="3" spans="1:2" ht="15" customHeight="1">
      <c r="A3" s="184"/>
      <c r="B3" s="199"/>
    </row>
    <row r="4" spans="1:2" ht="21.75" customHeight="1">
      <c r="A4" s="184"/>
      <c r="B4" s="200" t="s">
        <v>378</v>
      </c>
    </row>
    <row r="5" spans="1:2" ht="15" customHeight="1">
      <c r="A5" s="184"/>
      <c r="B5" s="201" t="s">
        <v>379</v>
      </c>
    </row>
    <row r="6" spans="1:2" ht="15" customHeight="1">
      <c r="A6" s="184"/>
      <c r="B6" s="201" t="s">
        <v>380</v>
      </c>
    </row>
    <row r="7" spans="1:2" ht="15" customHeight="1">
      <c r="A7" s="184"/>
      <c r="B7" s="201" t="s">
        <v>381</v>
      </c>
    </row>
    <row r="8" spans="1:2" ht="15" customHeight="1">
      <c r="A8" s="184"/>
      <c r="B8" s="201" t="s">
        <v>382</v>
      </c>
    </row>
    <row r="9" spans="1:2" ht="15" customHeight="1">
      <c r="A9" s="184"/>
      <c r="B9" s="199" t="s">
        <v>383</v>
      </c>
    </row>
    <row r="10" spans="1:2" ht="21.75" customHeight="1">
      <c r="A10" s="184"/>
      <c r="B10" s="201" t="s">
        <v>384</v>
      </c>
    </row>
    <row r="11" spans="1:2" ht="15" customHeight="1">
      <c r="A11" s="184"/>
      <c r="B11" s="201" t="s">
        <v>385</v>
      </c>
    </row>
    <row r="12" spans="1:2" ht="15" customHeight="1">
      <c r="A12" s="184"/>
      <c r="B12" s="201" t="s">
        <v>386</v>
      </c>
    </row>
    <row r="13" spans="1:2" ht="15" customHeight="1">
      <c r="A13" s="184"/>
      <c r="B13" s="201" t="s">
        <v>387</v>
      </c>
    </row>
    <row r="14" spans="1:2" ht="15" customHeight="1">
      <c r="A14" s="184"/>
      <c r="B14" s="201"/>
    </row>
    <row r="15" spans="1:2" ht="15" customHeight="1">
      <c r="A15" s="184"/>
      <c r="B15" s="202" t="s">
        <v>388</v>
      </c>
    </row>
    <row r="16" spans="1:2" ht="21.75" customHeight="1">
      <c r="A16" s="184"/>
      <c r="B16" s="201" t="s">
        <v>389</v>
      </c>
    </row>
    <row r="17" spans="1:2" ht="15" customHeight="1">
      <c r="A17" s="184"/>
      <c r="B17" s="201" t="s">
        <v>390</v>
      </c>
    </row>
    <row r="18" spans="1:2" ht="15" customHeight="1">
      <c r="A18" s="184"/>
      <c r="B18" s="201"/>
    </row>
    <row r="19" spans="1:2" ht="15" customHeight="1">
      <c r="A19" s="184"/>
      <c r="B19" s="202" t="s">
        <v>391</v>
      </c>
    </row>
    <row r="20" spans="1:2" ht="21.75" customHeight="1">
      <c r="A20" s="184"/>
      <c r="B20" s="201" t="s">
        <v>392</v>
      </c>
    </row>
    <row r="21" spans="1:2" ht="15" customHeight="1">
      <c r="A21" s="184"/>
      <c r="B21" s="201" t="s">
        <v>393</v>
      </c>
    </row>
    <row r="22" spans="1:2" ht="15" customHeight="1">
      <c r="A22" s="184"/>
      <c r="B22" s="201" t="s">
        <v>394</v>
      </c>
    </row>
    <row r="23" spans="1:2" ht="15" customHeight="1">
      <c r="A23" s="184"/>
      <c r="B23" s="201" t="s">
        <v>395</v>
      </c>
    </row>
    <row r="24" spans="1:2" ht="15" customHeight="1">
      <c r="A24" s="184"/>
      <c r="B24" s="199"/>
    </row>
    <row r="25" spans="1:2" ht="21.75" customHeight="1">
      <c r="A25" s="184"/>
      <c r="B25" s="200" t="s">
        <v>396</v>
      </c>
    </row>
    <row r="26" spans="1:2" ht="26.25" customHeight="1">
      <c r="A26" s="184"/>
      <c r="B26" s="201" t="s">
        <v>397</v>
      </c>
    </row>
    <row r="27" spans="1:2" ht="26.25" customHeight="1">
      <c r="A27" s="184"/>
      <c r="B27" s="201" t="s">
        <v>398</v>
      </c>
    </row>
    <row r="28" spans="1:2" ht="15" customHeight="1">
      <c r="A28" s="184"/>
      <c r="B28" s="199" t="s">
        <v>399</v>
      </c>
    </row>
    <row r="29" spans="1:2" ht="21.75" customHeight="1">
      <c r="A29" s="184"/>
      <c r="B29" s="201" t="s">
        <v>400</v>
      </c>
    </row>
    <row r="30" spans="1:2" ht="15" customHeight="1">
      <c r="A30" s="184"/>
      <c r="B30" s="201"/>
    </row>
    <row r="31" spans="1:2" ht="15" customHeight="1">
      <c r="A31" s="184"/>
      <c r="B31" s="202" t="s">
        <v>401</v>
      </c>
    </row>
    <row r="32" spans="1:2" ht="21.75" customHeight="1">
      <c r="A32" s="184"/>
      <c r="B32" s="201" t="s">
        <v>402</v>
      </c>
    </row>
    <row r="33" spans="1:2" ht="15" customHeight="1">
      <c r="A33" s="184"/>
      <c r="B33" s="201" t="s">
        <v>403</v>
      </c>
    </row>
    <row r="34" spans="1:2" ht="15" customHeight="1">
      <c r="A34" s="184"/>
      <c r="B34" s="184"/>
    </row>
    <row r="35" spans="1:2" ht="15" customHeight="1">
      <c r="A35" s="184"/>
      <c r="B35" s="182"/>
    </row>
    <row r="36" spans="1:2" ht="15" customHeight="1">
      <c r="A36" s="184"/>
      <c r="B36" s="184"/>
    </row>
    <row r="37" spans="1:2" ht="15" customHeight="1">
      <c r="A37" s="184"/>
      <c r="B37" s="184"/>
    </row>
    <row r="38" spans="1:2" ht="15" customHeight="1">
      <c r="A38" s="184"/>
      <c r="B38" s="184"/>
    </row>
    <row r="39" spans="1:2" ht="15" customHeight="1">
      <c r="A39" s="184"/>
      <c r="B39" s="182" t="s">
        <v>404</v>
      </c>
    </row>
    <row r="40" spans="1:2" ht="15" customHeight="1">
      <c r="A40" s="184"/>
      <c r="B40" s="184" t="s">
        <v>405</v>
      </c>
    </row>
    <row r="41" spans="1:2" ht="15" customHeight="1">
      <c r="A41" s="184"/>
      <c r="B41" s="184" t="s">
        <v>406</v>
      </c>
    </row>
    <row r="43" spans="1:2" ht="19.5" customHeight="1">
      <c r="B43" s="203" t="s">
        <v>407</v>
      </c>
    </row>
    <row r="44" spans="1:2" ht="45.75" customHeight="1">
      <c r="B44" s="204" t="s">
        <v>408</v>
      </c>
    </row>
    <row r="45" spans="1:2" ht="15" hidden="1" customHeight="1"/>
    <row r="46" spans="1:2" ht="15" hidden="1" customHeight="1"/>
    <row r="47" spans="1:2" ht="15" hidden="1" customHeight="1"/>
    <row r="48" spans="1:2"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sheetData>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28"/>
  <sheetViews>
    <sheetView showGridLines="0" zoomScale="140" zoomScaleNormal="140" workbookViewId="0"/>
  </sheetViews>
  <sheetFormatPr defaultColWidth="0" defaultRowHeight="15"/>
  <cols>
    <col min="1" max="1" width="12" customWidth="1"/>
    <col min="2" max="2" width="14" customWidth="1"/>
    <col min="3" max="3" width="16" customWidth="1"/>
    <col min="4" max="4" width="10" customWidth="1"/>
    <col min="5" max="16384" width="13" hidden="1"/>
  </cols>
  <sheetData>
    <row r="1" spans="1:4" ht="25.5" customHeight="1">
      <c r="A1" s="313" t="s">
        <v>409</v>
      </c>
      <c r="B1" s="313"/>
      <c r="C1" s="313"/>
      <c r="D1" s="313"/>
    </row>
    <row r="3" spans="1:4" ht="15" customHeight="1">
      <c r="A3" s="292" t="s">
        <v>410</v>
      </c>
      <c r="B3" s="292"/>
      <c r="C3" s="292"/>
      <c r="D3" s="292"/>
    </row>
    <row r="4" spans="1:4" ht="15" customHeight="1">
      <c r="A4" s="205" t="s">
        <v>411</v>
      </c>
      <c r="B4" s="206" t="str">
        <f>COUNTIF('🛏 HP Bed Board'!B10:B23,"Occupied")&amp;"/14"</f>
        <v>11/14</v>
      </c>
      <c r="C4" s="205" t="s">
        <v>38</v>
      </c>
      <c r="D4" s="206">
        <f>COUNTIF('🛏 HP Bed Board'!B10:B23,"Open")</f>
        <v>3</v>
      </c>
    </row>
    <row r="5" spans="1:4" ht="15" customHeight="1">
      <c r="A5" s="207" t="s">
        <v>178</v>
      </c>
      <c r="B5" s="207" t="s">
        <v>412</v>
      </c>
      <c r="C5" s="207" t="s">
        <v>413</v>
      </c>
    </row>
    <row r="6" spans="1:4" ht="15" customHeight="1">
      <c r="A6" s="208" t="s">
        <v>111</v>
      </c>
      <c r="B6" s="209" t="str">
        <f>IFERROR(VLOOKUP("DTX-A",'🛏 HP Bed Board'!$A$10:$B$23,2,FALSE()),"")</f>
        <v>Open</v>
      </c>
      <c r="C6" s="209" t="str">
        <f>IFERROR(VLOOKUP("DTX-B",'🛏 HP Bed Board'!$A$10:$B$23,2,FALSE()),"")</f>
        <v>Open</v>
      </c>
    </row>
    <row r="7" spans="1:4" ht="15" customHeight="1">
      <c r="A7" s="208" t="s">
        <v>414</v>
      </c>
      <c r="B7" s="209" t="str">
        <f>IFERROR(VLOOKUP("M1-A",'🛏 HP Bed Board'!$A$10:$B$23,2,FALSE()),"")</f>
        <v>Occupied</v>
      </c>
      <c r="C7" s="209" t="str">
        <f>IFERROR(VLOOKUP("M1-B",'🛏 HP Bed Board'!$A$10:$B$23,2,FALSE()),"")</f>
        <v>Occupied</v>
      </c>
    </row>
    <row r="8" spans="1:4" ht="15" customHeight="1">
      <c r="A8" s="208" t="s">
        <v>415</v>
      </c>
      <c r="B8" s="209" t="str">
        <f>IFERROR(VLOOKUP("M2-A",'🛏 HP Bed Board'!$A$10:$B$23,2,FALSE()),"")</f>
        <v>Open</v>
      </c>
      <c r="C8" s="209" t="str">
        <f>IFERROR(VLOOKUP("M2-B",'🛏 HP Bed Board'!$A$10:$B$23,2,FALSE()),"")</f>
        <v>Occupied</v>
      </c>
    </row>
    <row r="9" spans="1:4" ht="15" customHeight="1">
      <c r="A9" s="208" t="s">
        <v>416</v>
      </c>
      <c r="B9" s="209" t="str">
        <f>IFERROR(VLOOKUP("M3-A",'🛏 HP Bed Board'!$A$10:$B$23,2,FALSE()),"")</f>
        <v>Occupied</v>
      </c>
      <c r="C9" s="209" t="str">
        <f>IFERROR(VLOOKUP("M3-B",'🛏 HP Bed Board'!$A$10:$B$23,2,FALSE()),"")</f>
        <v>Occupied</v>
      </c>
    </row>
    <row r="10" spans="1:4" ht="15" customHeight="1">
      <c r="A10" s="208" t="s">
        <v>417</v>
      </c>
      <c r="B10" s="209" t="str">
        <f>IFERROR(VLOOKUP("B1-A",'🛏 HP Bed Board'!$A$10:$B$23,2,FALSE()),"")</f>
        <v>Occupied</v>
      </c>
      <c r="C10" s="209" t="str">
        <f>IFERROR(VLOOKUP("B1-B",'🛏 HP Bed Board'!$A$10:$B$23,2,FALSE()),"")</f>
        <v>Occupied</v>
      </c>
    </row>
    <row r="11" spans="1:4" ht="15" customHeight="1">
      <c r="A11" s="208" t="s">
        <v>418</v>
      </c>
      <c r="B11" s="209" t="str">
        <f>IFERROR(VLOOKUP("B2-A",'🛏 HP Bed Board'!$A$10:$B$23,2,FALSE()),"")</f>
        <v>Occupied</v>
      </c>
      <c r="C11" s="209" t="str">
        <f>IFERROR(VLOOKUP("B2-B",'🛏 HP Bed Board'!$A$10:$B$23,2,FALSE()),"")</f>
        <v>Occupied</v>
      </c>
    </row>
    <row r="12" spans="1:4" ht="15" customHeight="1">
      <c r="A12" s="208" t="s">
        <v>419</v>
      </c>
      <c r="B12" s="209" t="str">
        <f>IFERROR(VLOOKUP("B3-A",'🛏 HP Bed Board'!$A$10:$B$23,2,FALSE()),"")</f>
        <v>Occupied</v>
      </c>
      <c r="C12" s="209" t="str">
        <f>IFERROR(VLOOKUP("B3-B",'🛏 HP Bed Board'!$A$10:$B$23,2,FALSE()),"")</f>
        <v>Occupied</v>
      </c>
    </row>
    <row r="14" spans="1:4" ht="15" customHeight="1">
      <c r="A14" s="292" t="s">
        <v>420</v>
      </c>
      <c r="B14" s="292"/>
      <c r="C14" s="292"/>
      <c r="D14" s="292"/>
    </row>
    <row r="15" spans="1:4" ht="15" customHeight="1">
      <c r="A15" s="205" t="s">
        <v>411</v>
      </c>
      <c r="B15" s="206" t="str">
        <f>(COUNTIF('🛏 HPE Bed Board'!B11:B16,"Occupied")+COUNTIF('🛏 HPE Bed Board'!B18:B23,"Occupied"))&amp;"/12"</f>
        <v>9/12</v>
      </c>
      <c r="C15" s="205" t="s">
        <v>38</v>
      </c>
      <c r="D15" s="206">
        <f>(COUNTIF('🛏 HPE Bed Board'!B11:B16,"Open")+COUNTIF('🛏 HPE Bed Board'!B18:B23,"Open"))</f>
        <v>2</v>
      </c>
    </row>
    <row r="16" spans="1:4" ht="15" customHeight="1">
      <c r="A16" s="207" t="s">
        <v>421</v>
      </c>
      <c r="B16" s="207" t="s">
        <v>78</v>
      </c>
      <c r="C16" s="207" t="s">
        <v>188</v>
      </c>
    </row>
    <row r="17" spans="1:3" ht="15" customHeight="1">
      <c r="A17" s="208" t="str">
        <f>'🛏 HPE Bed Board'!A11</f>
        <v>H1-1A</v>
      </c>
      <c r="B17" s="209" t="str">
        <f>'🛏 HPE Bed Board'!B11</f>
        <v>Occupied</v>
      </c>
      <c r="C17" s="209" t="str">
        <f>IF('🛏 HPE Bed Board'!C11="","",'🛏 HPE Bed Board'!C11)</f>
        <v>Allisa Leuvrey</v>
      </c>
    </row>
    <row r="18" spans="1:3" ht="15" customHeight="1">
      <c r="A18" s="208" t="str">
        <f>'🛏 HPE Bed Board'!A12</f>
        <v>H1-1B</v>
      </c>
      <c r="B18" s="209" t="str">
        <f>'🛏 HPE Bed Board'!B12</f>
        <v>Occupied</v>
      </c>
      <c r="C18" s="209" t="str">
        <f>IF('🛏 HPE Bed Board'!C12="","",'🛏 HPE Bed Board'!C12)</f>
        <v>Cree Lamere</v>
      </c>
    </row>
    <row r="19" spans="1:3" ht="15" customHeight="1">
      <c r="A19" s="208" t="str">
        <f>'🛏 HPE Bed Board'!A13</f>
        <v>H1-2A</v>
      </c>
      <c r="B19" s="209" t="str">
        <f>'🛏 HPE Bed Board'!B13</f>
        <v>Occupied</v>
      </c>
      <c r="C19" s="209" t="str">
        <f>IF('🛏 HPE Bed Board'!C13="","",'🛏 HPE Bed Board'!C13)</f>
        <v>Rhonda Baim</v>
      </c>
    </row>
    <row r="20" spans="1:3" ht="15" customHeight="1">
      <c r="A20" s="208" t="str">
        <f>'🛏 HPE Bed Board'!A14</f>
        <v>H1-3A</v>
      </c>
      <c r="B20" s="209" t="str">
        <f>'🛏 HPE Bed Board'!B14</f>
        <v>Occupied</v>
      </c>
      <c r="C20" s="209" t="str">
        <f>IF('🛏 HPE Bed Board'!C14="","",'🛏 HPE Bed Board'!C14)</f>
        <v>Aaron Dufresne</v>
      </c>
    </row>
    <row r="21" spans="1:3" ht="15" customHeight="1">
      <c r="A21" s="208" t="str">
        <f>'🛏 HPE Bed Board'!A15</f>
        <v>H1-3B</v>
      </c>
      <c r="B21" s="209" t="str">
        <f>'🛏 HPE Bed Board'!B15</f>
        <v>Open</v>
      </c>
      <c r="C21" s="209" t="str">
        <f>IF('🛏 HPE Bed Board'!C15="","",'🛏 HPE Bed Board'!C15)</f>
        <v/>
      </c>
    </row>
    <row r="22" spans="1:3" ht="15" customHeight="1">
      <c r="A22" s="208" t="str">
        <f>'🛏 HPE Bed Board'!A16</f>
        <v>H1-4</v>
      </c>
      <c r="B22" s="209" t="str">
        <f>'🛏 HPE Bed Board'!B16</f>
        <v>Occupied</v>
      </c>
      <c r="C22" s="209" t="str">
        <f>IF('🛏 HPE Bed Board'!C16="","",'🛏 HPE Bed Board'!C16)</f>
        <v>Jared Hamilton</v>
      </c>
    </row>
    <row r="23" spans="1:3" ht="15" customHeight="1">
      <c r="A23" s="208" t="str">
        <f>'🛏 HPE Bed Board'!A18</f>
        <v>H2-2A</v>
      </c>
      <c r="B23" s="209" t="str">
        <f>'🛏 HPE Bed Board'!B18</f>
        <v>Reserved</v>
      </c>
      <c r="C23" s="209" t="str">
        <f>IF('🛏 HPE Bed Board'!C18="","",'🛏 HPE Bed Board'!C18)</f>
        <v>Tara Shinde</v>
      </c>
    </row>
    <row r="24" spans="1:3" ht="15" customHeight="1">
      <c r="A24" s="208" t="str">
        <f>'🛏 HPE Bed Board'!A19</f>
        <v>H2-2B</v>
      </c>
      <c r="B24" s="209" t="str">
        <f>'🛏 HPE Bed Board'!B19</f>
        <v>Open</v>
      </c>
      <c r="C24" s="209" t="str">
        <f>IF('🛏 HPE Bed Board'!C19="","",'🛏 HPE Bed Board'!C19)</f>
        <v/>
      </c>
    </row>
    <row r="25" spans="1:3" ht="15" customHeight="1">
      <c r="A25" s="208" t="str">
        <f>'🛏 HPE Bed Board'!A20</f>
        <v>H2-3A</v>
      </c>
      <c r="B25" s="209" t="str">
        <f>'🛏 HPE Bed Board'!B20</f>
        <v>Occupied</v>
      </c>
      <c r="C25" s="209" t="str">
        <f>IF('🛏 HPE Bed Board'!C20="","",'🛏 HPE Bed Board'!C20)</f>
        <v>Daniel Armiger</v>
      </c>
    </row>
    <row r="26" spans="1:3" ht="15" customHeight="1">
      <c r="A26" s="208" t="str">
        <f>'🛏 HPE Bed Board'!A21</f>
        <v>H2-3B</v>
      </c>
      <c r="B26" s="209" t="str">
        <f>'🛏 HPE Bed Board'!B21</f>
        <v>Occupied</v>
      </c>
      <c r="C26" s="209" t="str">
        <f>IF('🛏 HPE Bed Board'!C21="","",'🛏 HPE Bed Board'!C21)</f>
        <v>Blayne Olivier</v>
      </c>
    </row>
    <row r="27" spans="1:3" ht="15" customHeight="1">
      <c r="A27" s="208" t="str">
        <f>'🛏 HPE Bed Board'!A22</f>
        <v>H2-3C</v>
      </c>
      <c r="B27" s="209" t="str">
        <f>'🛏 HPE Bed Board'!B22</f>
        <v>Occupied</v>
      </c>
      <c r="C27" s="209" t="str">
        <f>IF('🛏 HPE Bed Board'!C22="","",'🛏 HPE Bed Board'!C22)</f>
        <v>Bradey Bauer</v>
      </c>
    </row>
    <row r="28" spans="1:3" ht="15" customHeight="1">
      <c r="A28" s="208" t="str">
        <f>'🛏 HPE Bed Board'!A23</f>
        <v>H2-4</v>
      </c>
      <c r="B28" s="209" t="str">
        <f>'🛏 HPE Bed Board'!B23</f>
        <v>Occupied</v>
      </c>
      <c r="C28" s="209" t="str">
        <f>IF('🛏 HPE Bed Board'!C23="","",'🛏 HPE Bed Board'!C23)</f>
        <v>Jeongwoon Lee</v>
      </c>
    </row>
    <row r="29" spans="1:3" ht="15" hidden="1" customHeight="1"/>
    <row r="30" spans="1:3" ht="15" hidden="1" customHeight="1"/>
    <row r="31" spans="1:3" ht="15" hidden="1" customHeight="1"/>
    <row r="32" spans="1:3"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sheetData>
  <mergeCells count="3">
    <mergeCell ref="A1:D1"/>
    <mergeCell ref="A3:D3"/>
    <mergeCell ref="A14:D14"/>
  </mergeCells>
  <conditionalFormatting sqref="B17:B28">
    <cfRule type="cellIs" dxfId="23" priority="5" operator="equal">
      <formula>"Occupied"</formula>
    </cfRule>
    <cfRule type="cellIs" dxfId="22" priority="6" operator="equal">
      <formula>"Open"</formula>
    </cfRule>
    <cfRule type="cellIs" dxfId="21" priority="7" operator="equal">
      <formula>"Reserved"</formula>
    </cfRule>
  </conditionalFormatting>
  <conditionalFormatting sqref="B6:C12">
    <cfRule type="cellIs" dxfId="20" priority="2" operator="equal">
      <formula>"Occupied"</formula>
    </cfRule>
    <cfRule type="cellIs" dxfId="19" priority="3" operator="equal">
      <formula>"Open"</formula>
    </cfRule>
    <cfRule type="cellIs" dxfId="18" priority="4" operator="equal">
      <formula>"Reserved"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P210"/>
  <sheetViews>
    <sheetView showGridLines="0" zoomScale="140" zoomScaleNormal="140" workbookViewId="0"/>
  </sheetViews>
  <sheetFormatPr defaultColWidth="0" defaultRowHeight="15"/>
  <cols>
    <col min="1" max="1" width="12" customWidth="1"/>
    <col min="2" max="2" width="5" customWidth="1"/>
    <col min="3" max="13" width="13"/>
    <col min="14" max="14" width="8" customWidth="1"/>
    <col min="15" max="16" width="13" customWidth="1"/>
    <col min="17" max="16384" width="13" hidden="1"/>
  </cols>
  <sheetData>
    <row r="1" spans="1:16" ht="17.25" customHeight="1">
      <c r="A1" s="343" t="s">
        <v>422</v>
      </c>
      <c r="B1" s="343"/>
      <c r="C1" s="343"/>
      <c r="D1" s="343"/>
      <c r="E1" s="343"/>
      <c r="F1" s="343"/>
      <c r="G1" s="343"/>
      <c r="H1" s="343"/>
      <c r="I1" s="343"/>
      <c r="J1" s="343"/>
      <c r="K1" s="343"/>
      <c r="L1" s="343"/>
      <c r="M1" s="343"/>
      <c r="N1" s="343"/>
      <c r="O1" s="343"/>
      <c r="P1" s="343"/>
    </row>
    <row r="2" spans="1:16" ht="15" customHeight="1">
      <c r="A2" s="344" t="s">
        <v>423</v>
      </c>
      <c r="B2" s="344"/>
      <c r="C2" s="344"/>
      <c r="D2" s="344"/>
      <c r="E2" s="344"/>
      <c r="F2" s="344"/>
      <c r="G2" s="344"/>
      <c r="H2" s="344"/>
      <c r="I2" s="344"/>
      <c r="J2" s="344"/>
      <c r="K2" s="344"/>
      <c r="L2" s="344"/>
      <c r="M2" s="344"/>
      <c r="N2" s="344"/>
      <c r="O2" s="344"/>
      <c r="P2" s="344"/>
    </row>
    <row r="4" spans="1:16" ht="15" customHeight="1">
      <c r="A4" s="210" t="s">
        <v>85</v>
      </c>
      <c r="B4" s="93" t="s">
        <v>424</v>
      </c>
      <c r="C4" s="93" t="s">
        <v>425</v>
      </c>
      <c r="D4" s="93" t="s">
        <v>426</v>
      </c>
      <c r="E4" s="93" t="s">
        <v>427</v>
      </c>
      <c r="F4" s="93" t="s">
        <v>428</v>
      </c>
      <c r="G4" s="93" t="s">
        <v>429</v>
      </c>
      <c r="H4" s="93" t="s">
        <v>430</v>
      </c>
      <c r="I4" s="93" t="s">
        <v>431</v>
      </c>
      <c r="J4" s="93" t="s">
        <v>432</v>
      </c>
      <c r="K4" s="93" t="s">
        <v>433</v>
      </c>
      <c r="L4" s="93" t="s">
        <v>434</v>
      </c>
      <c r="M4" s="93" t="s">
        <v>435</v>
      </c>
      <c r="N4" s="210" t="s">
        <v>363</v>
      </c>
      <c r="O4" s="210" t="s">
        <v>364</v>
      </c>
      <c r="P4" s="210" t="s">
        <v>365</v>
      </c>
    </row>
    <row r="5" spans="1:16" ht="15" customHeight="1">
      <c r="A5" s="211" t="s">
        <v>101</v>
      </c>
      <c r="B5" s="212">
        <v>5</v>
      </c>
      <c r="C5" s="212">
        <v>6</v>
      </c>
      <c r="D5" s="212">
        <v>8</v>
      </c>
      <c r="E5" s="212">
        <v>5</v>
      </c>
      <c r="F5" s="212">
        <f>COUNTIF('📋 May 2026'!$J$5:$J$60,$A5)</f>
        <v>11</v>
      </c>
      <c r="G5" s="212">
        <f>IF(COUNTA('📋 Jun 2026'!$B$5:$B$60)=0,"",COUNTIF('📋 Jun 2026'!$J$5:$J$60,$A5))</f>
        <v>5</v>
      </c>
      <c r="H5" s="212" t="str">
        <f>IF(COUNTA('📋 Jul 2026'!$B$5:$B$60)=0,"",COUNTIF('📋 Jul 2026'!$J$5:$J$60,$A5))</f>
        <v/>
      </c>
      <c r="I5" s="212" t="str">
        <f>IF(COUNTA('📋 Aug 2026'!$B$5:$B$60)=0,"",COUNTIF('📋 Aug 2026'!$J$5:$J$60,$A5))</f>
        <v/>
      </c>
      <c r="J5" s="212" t="str">
        <f>IF(COUNTA('📋 Sep 2026'!$B$5:$B$60)=0,"",COUNTIF('📋 Sep 2026'!$J$5:$J$60,$A5))</f>
        <v/>
      </c>
      <c r="K5" s="212" t="str">
        <f>IF(COUNTA('📋 Oct 2026'!$B$5:$B$60)=0,"",COUNTIF('📋 Oct 2026'!$J$5:$J$60,$A5))</f>
        <v/>
      </c>
      <c r="L5" s="212" t="str">
        <f>IF(COUNTA('📋 Nov 2026'!$B$5:$B$60)=0,"",COUNTIF('📋 Nov 2026'!$J$5:$J$60,$A5))</f>
        <v/>
      </c>
      <c r="M5" s="212" t="str">
        <f>IF(COUNTA('📋 Dec 2026'!$B$5:$B$60)=0,"",COUNTIF('📋 Dec 2026'!$J$5:$J$60,$A5))</f>
        <v/>
      </c>
      <c r="N5" s="211">
        <f>SUM(B5:M5)</f>
        <v>40</v>
      </c>
      <c r="O5" s="213">
        <f>IFERROR(ROUND(N5/COUNT(B5:M5),1),0)</f>
        <v>6.7</v>
      </c>
      <c r="P5" s="213">
        <f>ROUND(O5*12,0)</f>
        <v>80</v>
      </c>
    </row>
    <row r="6" spans="1:16" ht="15" customHeight="1">
      <c r="A6" s="211" t="s">
        <v>129</v>
      </c>
      <c r="B6" s="212">
        <v>4</v>
      </c>
      <c r="C6" s="212">
        <v>6</v>
      </c>
      <c r="D6" s="212">
        <v>7</v>
      </c>
      <c r="E6" s="212">
        <v>8</v>
      </c>
      <c r="F6" s="212">
        <f>COUNTIF('📋 May 2026'!$J$5:$J$60,$A6)</f>
        <v>6</v>
      </c>
      <c r="G6" s="212">
        <f>IF(COUNTA('📋 Jun 2026'!$B$5:$B$60)=0,"",COUNTIF('📋 Jun 2026'!$J$5:$J$60,$A6))</f>
        <v>2</v>
      </c>
      <c r="H6" s="212" t="str">
        <f>IF(COUNTA('📋 Jul 2026'!$B$5:$B$60)=0,"",COUNTIF('📋 Jul 2026'!$J$5:$J$60,$A6))</f>
        <v/>
      </c>
      <c r="I6" s="212" t="str">
        <f>IF(COUNTA('📋 Aug 2026'!$B$5:$B$60)=0,"",COUNTIF('📋 Aug 2026'!$J$5:$J$60,$A6))</f>
        <v/>
      </c>
      <c r="J6" s="212" t="str">
        <f>IF(COUNTA('📋 Sep 2026'!$B$5:$B$60)=0,"",COUNTIF('📋 Sep 2026'!$J$5:$J$60,$A6))</f>
        <v/>
      </c>
      <c r="K6" s="212" t="str">
        <f>IF(COUNTA('📋 Oct 2026'!$B$5:$B$60)=0,"",COUNTIF('📋 Oct 2026'!$J$5:$J$60,$A6))</f>
        <v/>
      </c>
      <c r="L6" s="212" t="str">
        <f>IF(COUNTA('📋 Nov 2026'!$B$5:$B$60)=0,"",COUNTIF('📋 Nov 2026'!$J$5:$J$60,$A6))</f>
        <v/>
      </c>
      <c r="M6" s="212" t="str">
        <f>IF(COUNTA('📋 Dec 2026'!$B$5:$B$60)=0,"",COUNTIF('📋 Dec 2026'!$J$5:$J$60,$A6))</f>
        <v/>
      </c>
      <c r="N6" s="211">
        <f>SUM(B6:M6)</f>
        <v>33</v>
      </c>
      <c r="O6" s="213">
        <f>IFERROR(ROUND(N6/COUNT(B6:M6),1),0)</f>
        <v>5.5</v>
      </c>
      <c r="P6" s="213">
        <f>ROUND(O6*12,0)</f>
        <v>66</v>
      </c>
    </row>
    <row r="7" spans="1:16" ht="15" customHeight="1">
      <c r="A7" s="211" t="s">
        <v>107</v>
      </c>
      <c r="B7" s="212">
        <v>0</v>
      </c>
      <c r="C7" s="212">
        <v>0</v>
      </c>
      <c r="D7" s="212">
        <v>0</v>
      </c>
      <c r="E7" s="212">
        <v>0</v>
      </c>
      <c r="F7" s="212">
        <f>COUNTIF('📋 May 2026'!$J$5:$J$60,$A7)</f>
        <v>6</v>
      </c>
      <c r="G7" s="212">
        <f>IF(COUNTA('📋 Jun 2026'!$B$5:$B$60)=0,"",COUNTIF('📋 Jun 2026'!$J$5:$J$60,$A7))</f>
        <v>4</v>
      </c>
      <c r="H7" s="212" t="str">
        <f>IF(COUNTA('📋 Jul 2026'!$B$5:$B$60)=0,"",COUNTIF('📋 Jul 2026'!$J$5:$J$60,$A7))</f>
        <v/>
      </c>
      <c r="I7" s="212" t="str">
        <f>IF(COUNTA('📋 Aug 2026'!$B$5:$B$60)=0,"",COUNTIF('📋 Aug 2026'!$J$5:$J$60,$A7))</f>
        <v/>
      </c>
      <c r="J7" s="212" t="str">
        <f>IF(COUNTA('📋 Sep 2026'!$B$5:$B$60)=0,"",COUNTIF('📋 Sep 2026'!$J$5:$J$60,$A7))</f>
        <v/>
      </c>
      <c r="K7" s="212" t="str">
        <f>IF(COUNTA('📋 Oct 2026'!$B$5:$B$60)=0,"",COUNTIF('📋 Oct 2026'!$J$5:$J$60,$A7))</f>
        <v/>
      </c>
      <c r="L7" s="212" t="str">
        <f>IF(COUNTA('📋 Nov 2026'!$B$5:$B$60)=0,"",COUNTIF('📋 Nov 2026'!$J$5:$J$60,$A7))</f>
        <v/>
      </c>
      <c r="M7" s="212" t="str">
        <f>IF(COUNTA('📋 Dec 2026'!$B$5:$B$60)=0,"",COUNTIF('📋 Dec 2026'!$J$5:$J$60,$A7))</f>
        <v/>
      </c>
      <c r="N7" s="211">
        <f>SUM(B7:M7)</f>
        <v>10</v>
      </c>
      <c r="O7" s="213">
        <f>IFERROR(ROUND(N7/COUNT(B7:M7),1),0)</f>
        <v>1.7</v>
      </c>
      <c r="P7" s="213">
        <f>ROUND(O7*12,0)</f>
        <v>20</v>
      </c>
    </row>
    <row r="8" spans="1:16" ht="15" customHeight="1">
      <c r="A8" s="211" t="s">
        <v>252</v>
      </c>
      <c r="B8" s="212">
        <v>6</v>
      </c>
      <c r="C8" s="212">
        <v>2</v>
      </c>
      <c r="D8" s="212">
        <v>7</v>
      </c>
      <c r="E8" s="212">
        <v>4</v>
      </c>
      <c r="F8" s="212">
        <f>COUNTIF('📋 May 2026'!$J$5:$J$60,$A8)</f>
        <v>5</v>
      </c>
      <c r="G8" s="212">
        <f>IF(COUNTA('📋 Jun 2026'!$B$5:$B$60)=0,"",COUNTIF('📋 Jun 2026'!$J$5:$J$60,$A8))</f>
        <v>0</v>
      </c>
      <c r="H8" s="212" t="str">
        <f>IF(COUNTA('📋 Jul 2026'!$B$5:$B$60)=0,"",COUNTIF('📋 Jul 2026'!$J$5:$J$60,$A8))</f>
        <v/>
      </c>
      <c r="I8" s="212" t="str">
        <f>IF(COUNTA('📋 Aug 2026'!$B$5:$B$60)=0,"",COUNTIF('📋 Aug 2026'!$J$5:$J$60,$A8))</f>
        <v/>
      </c>
      <c r="J8" s="212" t="str">
        <f>IF(COUNTA('📋 Sep 2026'!$B$5:$B$60)=0,"",COUNTIF('📋 Sep 2026'!$J$5:$J$60,$A8))</f>
        <v/>
      </c>
      <c r="K8" s="212" t="str">
        <f>IF(COUNTA('📋 Oct 2026'!$B$5:$B$60)=0,"",COUNTIF('📋 Oct 2026'!$J$5:$J$60,$A8))</f>
        <v/>
      </c>
      <c r="L8" s="212" t="str">
        <f>IF(COUNTA('📋 Nov 2026'!$B$5:$B$60)=0,"",COUNTIF('📋 Nov 2026'!$J$5:$J$60,$A8))</f>
        <v/>
      </c>
      <c r="M8" s="212" t="str">
        <f>IF(COUNTA('📋 Dec 2026'!$B$5:$B$60)=0,"",COUNTIF('📋 Dec 2026'!$J$5:$J$60,$A8))</f>
        <v/>
      </c>
      <c r="N8" s="211">
        <f>SUM(B8:M8)</f>
        <v>24</v>
      </c>
      <c r="O8" s="213">
        <f>IFERROR(ROUND(N8/COUNT(B8:M8),1),0)</f>
        <v>4</v>
      </c>
      <c r="P8" s="213">
        <f>ROUND(O8*12,0)</f>
        <v>48</v>
      </c>
    </row>
    <row r="9" spans="1:16" ht="15" customHeight="1">
      <c r="A9" s="211" t="s">
        <v>135</v>
      </c>
      <c r="B9" s="212">
        <v>0</v>
      </c>
      <c r="C9" s="212">
        <v>0</v>
      </c>
      <c r="D9" s="212">
        <v>0</v>
      </c>
      <c r="E9" s="212">
        <v>0</v>
      </c>
      <c r="F9" s="212">
        <f>COUNTIF('📋 May 2026'!$J$5:$J$60,$A9)</f>
        <v>0</v>
      </c>
      <c r="G9" s="212">
        <f>IF(COUNTA('📋 Jun 2026'!$B$5:$B$60)=0,"",COUNTIF('📋 Jun 2026'!$J$5:$J$60,$A9))</f>
        <v>2</v>
      </c>
      <c r="H9" s="212" t="str">
        <f>IF(COUNTA('📋 Jul 2026'!$B$5:$B$60)=0,"",COUNTIF('📋 Jul 2026'!$J$5:$J$60,$A9))</f>
        <v/>
      </c>
      <c r="I9" s="212" t="str">
        <f>IF(COUNTA('📋 Aug 2026'!$B$5:$B$60)=0,"",COUNTIF('📋 Aug 2026'!$J$5:$J$60,$A9))</f>
        <v/>
      </c>
      <c r="J9" s="212" t="str">
        <f>IF(COUNTA('📋 Sep 2026'!$B$5:$B$60)=0,"",COUNTIF('📋 Sep 2026'!$J$5:$J$60,$A9))</f>
        <v/>
      </c>
      <c r="K9" s="212" t="str">
        <f>IF(COUNTA('📋 Oct 2026'!$B$5:$B$60)=0,"",COUNTIF('📋 Oct 2026'!$J$5:$J$60,$A9))</f>
        <v/>
      </c>
      <c r="L9" s="212" t="str">
        <f>IF(COUNTA('📋 Nov 2026'!$B$5:$B$60)=0,"",COUNTIF('📋 Nov 2026'!$J$5:$J$60,$A9))</f>
        <v/>
      </c>
      <c r="M9" s="212" t="str">
        <f>IF(COUNTA('📋 Dec 2026'!$B$5:$B$60)=0,"",COUNTIF('📋 Dec 2026'!$J$5:$J$60,$A9))</f>
        <v/>
      </c>
      <c r="N9" s="211">
        <f>SUM(B9:M9)</f>
        <v>2</v>
      </c>
      <c r="O9" s="213">
        <f>IFERROR(ROUND(N9/COUNT(B9:M9),1),0)</f>
        <v>0.3</v>
      </c>
      <c r="P9" s="213">
        <f>ROUND(O9*12,0)</f>
        <v>4</v>
      </c>
    </row>
    <row r="10" spans="1:16" ht="15" customHeight="1">
      <c r="A10" s="214" t="s">
        <v>358</v>
      </c>
      <c r="B10" s="215">
        <f t="shared" ref="B10:P10" si="0">SUM(B5:B9)</f>
        <v>15</v>
      </c>
      <c r="C10" s="215">
        <f t="shared" si="0"/>
        <v>14</v>
      </c>
      <c r="D10" s="215">
        <f t="shared" si="0"/>
        <v>22</v>
      </c>
      <c r="E10" s="215">
        <f t="shared" si="0"/>
        <v>17</v>
      </c>
      <c r="F10" s="215">
        <f t="shared" si="0"/>
        <v>28</v>
      </c>
      <c r="G10" s="215">
        <f t="shared" si="0"/>
        <v>13</v>
      </c>
      <c r="H10" s="215">
        <f t="shared" si="0"/>
        <v>0</v>
      </c>
      <c r="I10" s="215">
        <f t="shared" si="0"/>
        <v>0</v>
      </c>
      <c r="J10" s="215">
        <f t="shared" si="0"/>
        <v>0</v>
      </c>
      <c r="K10" s="215">
        <f t="shared" si="0"/>
        <v>0</v>
      </c>
      <c r="L10" s="215">
        <f t="shared" si="0"/>
        <v>0</v>
      </c>
      <c r="M10" s="215">
        <f t="shared" si="0"/>
        <v>0</v>
      </c>
      <c r="N10" s="211">
        <f t="shared" si="0"/>
        <v>109</v>
      </c>
      <c r="O10" s="211">
        <f t="shared" si="0"/>
        <v>18.2</v>
      </c>
      <c r="P10" s="211">
        <f t="shared" si="0"/>
        <v>218</v>
      </c>
    </row>
    <row r="11" spans="1:16" ht="15" hidden="1" customHeight="1"/>
    <row r="12" spans="1:16" ht="15" hidden="1" customHeight="1"/>
    <row r="13" spans="1:16" ht="15" hidden="1" customHeight="1"/>
    <row r="14" spans="1:16" ht="15" hidden="1" customHeight="1"/>
    <row r="15" spans="1:16" ht="15" hidden="1" customHeight="1"/>
    <row r="16" spans="1:16" ht="15" hidden="1" customHeight="1"/>
    <row r="17" ht="15" hidden="1" customHeight="1"/>
    <row r="18" ht="15" hidden="1" customHeight="1"/>
    <row r="19" ht="15" hidden="1" customHeight="1"/>
    <row r="20" ht="15" hidden="1" customHeight="1"/>
    <row r="21" ht="15" hidden="1" customHeight="1"/>
    <row r="22" ht="15" hidden="1" customHeight="1"/>
    <row r="23" ht="15" hidden="1" customHeight="1"/>
    <row r="24" ht="15" hidden="1" customHeight="1"/>
    <row r="25" ht="15" hidden="1" customHeight="1"/>
    <row r="26" ht="15" hidden="1" customHeight="1"/>
    <row r="27" ht="15" hidden="1" customHeight="1"/>
    <row r="28" ht="15" hidden="1" customHeight="1"/>
    <row r="29" ht="15" hidden="1" customHeight="1"/>
    <row r="30" ht="15" hidden="1" customHeight="1"/>
    <row r="31" ht="15" hidden="1" customHeight="1"/>
    <row r="32"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sheetData>
  <mergeCells count="2">
    <mergeCell ref="A1:P1"/>
    <mergeCell ref="A2:P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14"/>
  <sheetViews>
    <sheetView showGridLines="0" zoomScale="140" zoomScaleNormal="140" workbookViewId="0">
      <pane ySplit="3" topLeftCell="A4" activePane="bottomLeft" state="frozen"/>
      <selection pane="bottomLeft"/>
    </sheetView>
  </sheetViews>
  <sheetFormatPr defaultColWidth="0" defaultRowHeight="15"/>
  <cols>
    <col min="1" max="1" width="44" customWidth="1"/>
    <col min="2" max="2" width="14" customWidth="1"/>
    <col min="3" max="3" width="12" customWidth="1"/>
    <col min="4" max="4" width="13"/>
    <col min="5" max="5" width="16" customWidth="1"/>
    <col min="6" max="6" width="39" customWidth="1"/>
    <col min="7" max="7" width="46" customWidth="1"/>
    <col min="8" max="16384" width="13" hidden="1"/>
  </cols>
  <sheetData>
    <row r="1" spans="1:7" ht="37.5" customHeight="1">
      <c r="A1" s="318" t="s">
        <v>436</v>
      </c>
      <c r="B1" s="318"/>
      <c r="C1" s="318"/>
      <c r="D1" s="318"/>
      <c r="E1" s="318"/>
      <c r="F1" s="318"/>
      <c r="G1" s="318"/>
    </row>
    <row r="2" spans="1:7" ht="18" customHeight="1">
      <c r="A2" s="319" t="s">
        <v>437</v>
      </c>
      <c r="B2" s="319"/>
      <c r="C2" s="319"/>
      <c r="D2" s="319"/>
      <c r="E2" s="319"/>
      <c r="F2" s="319"/>
      <c r="G2" s="319"/>
    </row>
    <row r="3" spans="1:7" ht="19.5" customHeight="1"/>
    <row r="4" spans="1:7" ht="24" customHeight="1">
      <c r="A4" s="316" t="s">
        <v>438</v>
      </c>
      <c r="B4" s="316"/>
      <c r="C4" s="316"/>
      <c r="D4" s="316"/>
      <c r="E4" s="316"/>
      <c r="F4" s="316"/>
      <c r="G4" s="316"/>
    </row>
    <row r="5" spans="1:7" ht="19.5" customHeight="1">
      <c r="A5" s="317" t="s">
        <v>439</v>
      </c>
      <c r="B5" s="317"/>
      <c r="C5" s="317"/>
      <c r="D5" s="317"/>
      <c r="E5" s="317"/>
      <c r="F5" s="317"/>
      <c r="G5" s="317"/>
    </row>
    <row r="6" spans="1:7" ht="21.75" customHeight="1">
      <c r="A6" s="216" t="s">
        <v>21</v>
      </c>
      <c r="B6" s="217" t="s">
        <v>440</v>
      </c>
      <c r="C6" s="217" t="s">
        <v>441</v>
      </c>
      <c r="D6" s="217" t="s">
        <v>442</v>
      </c>
      <c r="E6" s="217" t="s">
        <v>443</v>
      </c>
      <c r="F6" s="216" t="s">
        <v>279</v>
      </c>
      <c r="G6" s="216"/>
    </row>
    <row r="7" spans="1:7" ht="19.5" customHeight="1">
      <c r="A7" s="218" t="s">
        <v>444</v>
      </c>
      <c r="B7" s="219" t="s">
        <v>445</v>
      </c>
      <c r="C7" s="219" t="s">
        <v>446</v>
      </c>
      <c r="D7" s="219" t="s">
        <v>447</v>
      </c>
      <c r="E7" s="219" t="s">
        <v>448</v>
      </c>
      <c r="F7" s="220" t="s">
        <v>449</v>
      </c>
    </row>
    <row r="8" spans="1:7" ht="19.5" customHeight="1">
      <c r="A8" s="221" t="s">
        <v>450</v>
      </c>
      <c r="B8" s="222" t="s">
        <v>451</v>
      </c>
      <c r="C8" s="222" t="s">
        <v>452</v>
      </c>
      <c r="D8" s="222" t="s">
        <v>453</v>
      </c>
      <c r="E8" s="222" t="s">
        <v>454</v>
      </c>
      <c r="F8" s="223" t="s">
        <v>455</v>
      </c>
    </row>
    <row r="9" spans="1:7" ht="19.5" customHeight="1">
      <c r="A9" s="218" t="s">
        <v>112</v>
      </c>
      <c r="B9" s="219" t="s">
        <v>451</v>
      </c>
      <c r="C9" s="219" t="s">
        <v>456</v>
      </c>
      <c r="D9" s="219" t="s">
        <v>457</v>
      </c>
      <c r="E9" s="219" t="s">
        <v>458</v>
      </c>
      <c r="F9" s="220" t="s">
        <v>459</v>
      </c>
    </row>
    <row r="10" spans="1:7" ht="19.5" customHeight="1">
      <c r="A10" s="221" t="s">
        <v>460</v>
      </c>
      <c r="B10" s="222" t="s">
        <v>461</v>
      </c>
      <c r="C10" s="222" t="s">
        <v>462</v>
      </c>
      <c r="D10" s="222" t="s">
        <v>463</v>
      </c>
      <c r="E10" s="222" t="s">
        <v>464</v>
      </c>
      <c r="F10" s="223" t="s">
        <v>465</v>
      </c>
    </row>
    <row r="11" spans="1:7" ht="19.5" customHeight="1">
      <c r="A11" s="218" t="s">
        <v>466</v>
      </c>
      <c r="B11" s="219" t="s">
        <v>452</v>
      </c>
      <c r="C11" s="219" t="s">
        <v>467</v>
      </c>
      <c r="D11" s="219" t="s">
        <v>468</v>
      </c>
      <c r="E11" s="219" t="s">
        <v>451</v>
      </c>
      <c r="F11" s="220" t="s">
        <v>469</v>
      </c>
    </row>
    <row r="12" spans="1:7" ht="19.5" customHeight="1">
      <c r="A12" s="221" t="s">
        <v>470</v>
      </c>
      <c r="B12" s="222" t="s">
        <v>471</v>
      </c>
      <c r="C12" s="222" t="s">
        <v>472</v>
      </c>
      <c r="D12" s="222" t="s">
        <v>457</v>
      </c>
      <c r="E12" s="222" t="s">
        <v>451</v>
      </c>
      <c r="F12" s="223" t="s">
        <v>473</v>
      </c>
    </row>
    <row r="13" spans="1:7" ht="19.5" customHeight="1">
      <c r="A13" s="218" t="s">
        <v>474</v>
      </c>
      <c r="B13" s="219" t="s">
        <v>475</v>
      </c>
      <c r="C13" s="219" t="s">
        <v>476</v>
      </c>
      <c r="D13" s="219" t="s">
        <v>472</v>
      </c>
      <c r="E13" s="219" t="s">
        <v>477</v>
      </c>
      <c r="F13" s="220" t="s">
        <v>478</v>
      </c>
    </row>
    <row r="14" spans="1:7" ht="19.5" customHeight="1">
      <c r="A14" s="221" t="s">
        <v>479</v>
      </c>
      <c r="B14" s="222" t="s">
        <v>480</v>
      </c>
      <c r="C14" s="222" t="s">
        <v>452</v>
      </c>
      <c r="D14" s="222" t="s">
        <v>481</v>
      </c>
      <c r="E14" s="222" t="s">
        <v>482</v>
      </c>
      <c r="F14" s="223" t="s">
        <v>483</v>
      </c>
    </row>
    <row r="15" spans="1:7" ht="19.5" customHeight="1">
      <c r="A15" s="218" t="s">
        <v>484</v>
      </c>
      <c r="B15" s="219" t="s">
        <v>451</v>
      </c>
      <c r="C15" s="219" t="s">
        <v>485</v>
      </c>
      <c r="D15" s="219" t="s">
        <v>486</v>
      </c>
      <c r="E15" s="219" t="s">
        <v>487</v>
      </c>
      <c r="F15" s="220" t="s">
        <v>488</v>
      </c>
    </row>
    <row r="16" spans="1:7" ht="19.5" customHeight="1">
      <c r="A16" s="221" t="s">
        <v>116</v>
      </c>
      <c r="B16" s="222" t="s">
        <v>489</v>
      </c>
      <c r="C16" s="222" t="s">
        <v>490</v>
      </c>
      <c r="D16" s="222" t="s">
        <v>491</v>
      </c>
      <c r="E16" s="222" t="s">
        <v>451</v>
      </c>
      <c r="F16" s="223" t="s">
        <v>492</v>
      </c>
    </row>
    <row r="17" spans="1:7" ht="19.5" customHeight="1">
      <c r="A17" s="218" t="s">
        <v>167</v>
      </c>
      <c r="B17" s="219" t="s">
        <v>493</v>
      </c>
      <c r="C17" s="219" t="s">
        <v>494</v>
      </c>
      <c r="D17" s="219" t="s">
        <v>482</v>
      </c>
      <c r="E17" s="219" t="s">
        <v>495</v>
      </c>
      <c r="F17" s="220" t="s">
        <v>496</v>
      </c>
    </row>
    <row r="18" spans="1:7" ht="19.5" customHeight="1">
      <c r="A18" s="221" t="s">
        <v>497</v>
      </c>
      <c r="B18" s="222" t="s">
        <v>498</v>
      </c>
      <c r="C18" s="222" t="s">
        <v>499</v>
      </c>
      <c r="D18" s="222" t="s">
        <v>500</v>
      </c>
      <c r="E18" s="222" t="s">
        <v>501</v>
      </c>
      <c r="F18" s="223" t="s">
        <v>502</v>
      </c>
    </row>
    <row r="19" spans="1:7" ht="19.5" customHeight="1">
      <c r="A19" s="218" t="s">
        <v>503</v>
      </c>
      <c r="B19" s="219" t="s">
        <v>504</v>
      </c>
      <c r="C19" s="219" t="s">
        <v>505</v>
      </c>
      <c r="D19" s="219" t="s">
        <v>451</v>
      </c>
      <c r="E19" s="219" t="s">
        <v>451</v>
      </c>
      <c r="F19" s="220" t="s">
        <v>478</v>
      </c>
    </row>
    <row r="20" spans="1:7" ht="19.5" customHeight="1">
      <c r="A20" s="221" t="s">
        <v>506</v>
      </c>
      <c r="B20" s="222" t="s">
        <v>451</v>
      </c>
      <c r="C20" s="222" t="s">
        <v>507</v>
      </c>
      <c r="D20" s="222" t="s">
        <v>507</v>
      </c>
      <c r="E20" s="222" t="s">
        <v>451</v>
      </c>
      <c r="F20" s="223" t="s">
        <v>508</v>
      </c>
    </row>
    <row r="21" spans="1:7" ht="19.5" customHeight="1"/>
    <row r="22" spans="1:7" ht="24" customHeight="1">
      <c r="A22" s="316" t="s">
        <v>509</v>
      </c>
      <c r="B22" s="316"/>
      <c r="C22" s="316"/>
      <c r="D22" s="316"/>
      <c r="E22" s="316"/>
      <c r="F22" s="316"/>
      <c r="G22" s="316"/>
    </row>
    <row r="23" spans="1:7" ht="21.75" customHeight="1">
      <c r="A23" s="224" t="s">
        <v>510</v>
      </c>
      <c r="B23" s="225" t="s">
        <v>511</v>
      </c>
      <c r="C23" s="225" t="s">
        <v>111</v>
      </c>
      <c r="D23" s="225" t="s">
        <v>126</v>
      </c>
      <c r="E23" s="225" t="s">
        <v>442</v>
      </c>
      <c r="F23" s="225" t="s">
        <v>443</v>
      </c>
      <c r="G23" s="224" t="s">
        <v>279</v>
      </c>
    </row>
    <row r="24" spans="1:7" ht="21.75" customHeight="1">
      <c r="A24" s="226" t="s">
        <v>512</v>
      </c>
      <c r="B24" s="227" t="s">
        <v>513</v>
      </c>
      <c r="C24" s="227" t="s">
        <v>514</v>
      </c>
      <c r="D24" s="227" t="s">
        <v>514</v>
      </c>
      <c r="E24" s="227" t="s">
        <v>514</v>
      </c>
      <c r="F24" s="227" t="s">
        <v>451</v>
      </c>
      <c r="G24" s="228" t="s">
        <v>515</v>
      </c>
    </row>
    <row r="25" spans="1:7" ht="21.75" customHeight="1">
      <c r="A25" s="226" t="s">
        <v>516</v>
      </c>
      <c r="B25" s="227" t="s">
        <v>517</v>
      </c>
      <c r="C25" s="227" t="s">
        <v>514</v>
      </c>
      <c r="D25" s="227" t="s">
        <v>514</v>
      </c>
      <c r="E25" s="227" t="s">
        <v>514</v>
      </c>
      <c r="F25" s="227" t="s">
        <v>451</v>
      </c>
      <c r="G25" s="228" t="s">
        <v>518</v>
      </c>
    </row>
    <row r="26" spans="1:7" ht="21.75" customHeight="1">
      <c r="A26" s="226" t="s">
        <v>519</v>
      </c>
      <c r="B26" s="227" t="s">
        <v>520</v>
      </c>
      <c r="C26" s="227" t="s">
        <v>451</v>
      </c>
      <c r="D26" s="227" t="s">
        <v>514</v>
      </c>
      <c r="E26" s="227" t="s">
        <v>514</v>
      </c>
      <c r="F26" s="227" t="s">
        <v>451</v>
      </c>
      <c r="G26" s="228" t="s">
        <v>521</v>
      </c>
    </row>
    <row r="27" spans="1:7" ht="21.75" customHeight="1">
      <c r="A27" s="226" t="s">
        <v>522</v>
      </c>
      <c r="B27" s="227" t="s">
        <v>523</v>
      </c>
      <c r="C27" s="227" t="s">
        <v>451</v>
      </c>
      <c r="D27" s="227" t="s">
        <v>514</v>
      </c>
      <c r="E27" s="227" t="s">
        <v>514</v>
      </c>
      <c r="F27" s="227" t="s">
        <v>451</v>
      </c>
      <c r="G27" s="228" t="s">
        <v>524</v>
      </c>
    </row>
    <row r="28" spans="1:7" ht="21.75" customHeight="1">
      <c r="A28" s="226" t="s">
        <v>525</v>
      </c>
      <c r="B28" s="227" t="s">
        <v>526</v>
      </c>
      <c r="C28" s="227" t="s">
        <v>514</v>
      </c>
      <c r="D28" s="227" t="s">
        <v>514</v>
      </c>
      <c r="E28" s="227" t="s">
        <v>514</v>
      </c>
      <c r="F28" s="227" t="s">
        <v>451</v>
      </c>
      <c r="G28" s="228" t="s">
        <v>527</v>
      </c>
    </row>
    <row r="29" spans="1:7" ht="21.75" customHeight="1">
      <c r="A29" s="226" t="s">
        <v>528</v>
      </c>
      <c r="B29" s="227" t="s">
        <v>529</v>
      </c>
      <c r="C29" s="227" t="s">
        <v>514</v>
      </c>
      <c r="D29" s="227" t="s">
        <v>514</v>
      </c>
      <c r="E29" s="227" t="s">
        <v>514</v>
      </c>
      <c r="F29" s="227" t="s">
        <v>451</v>
      </c>
      <c r="G29" s="228"/>
    </row>
    <row r="30" spans="1:7" ht="21.75" customHeight="1">
      <c r="A30" s="226" t="s">
        <v>530</v>
      </c>
      <c r="B30" s="227" t="s">
        <v>531</v>
      </c>
      <c r="C30" s="227" t="s">
        <v>514</v>
      </c>
      <c r="D30" s="227" t="s">
        <v>514</v>
      </c>
      <c r="E30" s="227" t="s">
        <v>514</v>
      </c>
      <c r="F30" s="227" t="s">
        <v>451</v>
      </c>
      <c r="G30" s="228" t="s">
        <v>532</v>
      </c>
    </row>
    <row r="31" spans="1:7" ht="21.75" customHeight="1">
      <c r="A31" s="229" t="s">
        <v>533</v>
      </c>
      <c r="B31" s="230" t="s">
        <v>534</v>
      </c>
      <c r="C31" s="230" t="s">
        <v>451</v>
      </c>
      <c r="D31" s="230" t="s">
        <v>451</v>
      </c>
      <c r="E31" s="230" t="s">
        <v>451</v>
      </c>
      <c r="F31" s="230" t="s">
        <v>451</v>
      </c>
      <c r="G31" s="231" t="s">
        <v>535</v>
      </c>
    </row>
    <row r="32" spans="1:7" ht="21.75" customHeight="1">
      <c r="A32" s="229" t="s">
        <v>536</v>
      </c>
      <c r="B32" s="230" t="s">
        <v>537</v>
      </c>
      <c r="C32" s="230" t="s">
        <v>451</v>
      </c>
      <c r="D32" s="230" t="s">
        <v>451</v>
      </c>
      <c r="E32" s="230" t="s">
        <v>451</v>
      </c>
      <c r="F32" s="230" t="s">
        <v>451</v>
      </c>
      <c r="G32" s="231" t="s">
        <v>538</v>
      </c>
    </row>
    <row r="33" spans="1:7" ht="21.75" customHeight="1">
      <c r="A33" s="229" t="s">
        <v>539</v>
      </c>
      <c r="B33" s="230" t="s">
        <v>534</v>
      </c>
      <c r="C33" s="230" t="s">
        <v>451</v>
      </c>
      <c r="D33" s="230" t="s">
        <v>451</v>
      </c>
      <c r="E33" s="230" t="s">
        <v>451</v>
      </c>
      <c r="F33" s="230" t="s">
        <v>451</v>
      </c>
      <c r="G33" s="231" t="s">
        <v>540</v>
      </c>
    </row>
    <row r="34" spans="1:7" ht="21.75" customHeight="1">
      <c r="A34" s="229" t="s">
        <v>541</v>
      </c>
      <c r="B34" s="230" t="s">
        <v>542</v>
      </c>
      <c r="C34" s="230" t="s">
        <v>451</v>
      </c>
      <c r="D34" s="230" t="s">
        <v>451</v>
      </c>
      <c r="E34" s="230" t="s">
        <v>451</v>
      </c>
      <c r="F34" s="230" t="s">
        <v>451</v>
      </c>
      <c r="G34" s="231" t="s">
        <v>543</v>
      </c>
    </row>
    <row r="35" spans="1:7" ht="21.75" customHeight="1">
      <c r="A35" s="226" t="s">
        <v>544</v>
      </c>
      <c r="B35" s="227" t="s">
        <v>545</v>
      </c>
      <c r="C35" s="227" t="s">
        <v>514</v>
      </c>
      <c r="D35" s="227" t="s">
        <v>514</v>
      </c>
      <c r="E35" s="227" t="s">
        <v>514</v>
      </c>
      <c r="F35" s="227" t="s">
        <v>451</v>
      </c>
      <c r="G35" s="228" t="s">
        <v>532</v>
      </c>
    </row>
    <row r="36" spans="1:7" ht="21.75" customHeight="1">
      <c r="A36" s="229" t="s">
        <v>546</v>
      </c>
      <c r="B36" s="230" t="s">
        <v>547</v>
      </c>
      <c r="C36" s="230" t="s">
        <v>451</v>
      </c>
      <c r="D36" s="230" t="s">
        <v>451</v>
      </c>
      <c r="E36" s="230" t="s">
        <v>451</v>
      </c>
      <c r="F36" s="230" t="s">
        <v>451</v>
      </c>
      <c r="G36" s="231" t="s">
        <v>548</v>
      </c>
    </row>
    <row r="37" spans="1:7" ht="21.75" customHeight="1">
      <c r="A37" s="226" t="s">
        <v>549</v>
      </c>
      <c r="B37" s="227" t="s">
        <v>550</v>
      </c>
      <c r="C37" s="227" t="s">
        <v>514</v>
      </c>
      <c r="D37" s="227" t="s">
        <v>514</v>
      </c>
      <c r="E37" s="227" t="s">
        <v>514</v>
      </c>
      <c r="F37" s="227" t="s">
        <v>451</v>
      </c>
      <c r="G37" s="228"/>
    </row>
    <row r="38" spans="1:7" ht="21.75" customHeight="1">
      <c r="A38" s="226" t="s">
        <v>551</v>
      </c>
      <c r="B38" s="227" t="s">
        <v>552</v>
      </c>
      <c r="C38" s="227" t="s">
        <v>514</v>
      </c>
      <c r="D38" s="227" t="s">
        <v>514</v>
      </c>
      <c r="E38" s="227" t="s">
        <v>514</v>
      </c>
      <c r="F38" s="227" t="s">
        <v>451</v>
      </c>
      <c r="G38" s="228" t="s">
        <v>553</v>
      </c>
    </row>
    <row r="39" spans="1:7" ht="21.75" customHeight="1">
      <c r="A39" s="226" t="s">
        <v>554</v>
      </c>
      <c r="B39" s="227" t="s">
        <v>555</v>
      </c>
      <c r="C39" s="227" t="s">
        <v>451</v>
      </c>
      <c r="D39" s="227" t="s">
        <v>514</v>
      </c>
      <c r="E39" s="227" t="s">
        <v>451</v>
      </c>
      <c r="F39" s="227" t="s">
        <v>451</v>
      </c>
      <c r="G39" s="228" t="s">
        <v>556</v>
      </c>
    </row>
    <row r="40" spans="1:7" ht="21.75" customHeight="1">
      <c r="A40" s="232" t="s">
        <v>557</v>
      </c>
      <c r="B40" s="233" t="s">
        <v>542</v>
      </c>
      <c r="C40" s="233" t="s">
        <v>451</v>
      </c>
      <c r="D40" s="233" t="s">
        <v>451</v>
      </c>
      <c r="E40" s="233" t="s">
        <v>451</v>
      </c>
      <c r="F40" s="233" t="s">
        <v>451</v>
      </c>
      <c r="G40" s="234" t="s">
        <v>558</v>
      </c>
    </row>
    <row r="41" spans="1:7" ht="21.75" customHeight="1">
      <c r="A41" s="226" t="s">
        <v>559</v>
      </c>
      <c r="B41" s="227" t="s">
        <v>560</v>
      </c>
      <c r="C41" s="227" t="s">
        <v>561</v>
      </c>
      <c r="D41" s="227" t="s">
        <v>514</v>
      </c>
      <c r="E41" s="227" t="s">
        <v>514</v>
      </c>
      <c r="F41" s="227" t="s">
        <v>451</v>
      </c>
      <c r="G41" s="228" t="s">
        <v>562</v>
      </c>
    </row>
    <row r="42" spans="1:7" ht="19.5" customHeight="1"/>
    <row r="43" spans="1:7" ht="24" customHeight="1">
      <c r="A43" s="316" t="s">
        <v>563</v>
      </c>
      <c r="B43" s="316"/>
      <c r="C43" s="316"/>
      <c r="D43" s="316"/>
      <c r="E43" s="316"/>
      <c r="F43" s="316"/>
      <c r="G43" s="316"/>
    </row>
    <row r="44" spans="1:7" ht="21.75" customHeight="1">
      <c r="A44" s="224" t="s">
        <v>510</v>
      </c>
      <c r="B44" s="225" t="s">
        <v>511</v>
      </c>
      <c r="C44" s="225" t="s">
        <v>111</v>
      </c>
      <c r="D44" s="225" t="s">
        <v>126</v>
      </c>
      <c r="E44" s="225" t="s">
        <v>442</v>
      </c>
      <c r="F44" s="225" t="s">
        <v>443</v>
      </c>
      <c r="G44" s="224" t="s">
        <v>279</v>
      </c>
    </row>
    <row r="45" spans="1:7" ht="21.75" customHeight="1">
      <c r="A45" s="226" t="s">
        <v>512</v>
      </c>
      <c r="B45" s="227" t="s">
        <v>564</v>
      </c>
      <c r="C45" s="227" t="s">
        <v>514</v>
      </c>
      <c r="D45" s="227" t="s">
        <v>514</v>
      </c>
      <c r="E45" s="227" t="s">
        <v>514</v>
      </c>
      <c r="F45" s="227" t="s">
        <v>451</v>
      </c>
      <c r="G45" s="228" t="s">
        <v>565</v>
      </c>
    </row>
    <row r="46" spans="1:7" ht="21.75" customHeight="1">
      <c r="A46" s="226" t="s">
        <v>516</v>
      </c>
      <c r="B46" s="227" t="s">
        <v>566</v>
      </c>
      <c r="C46" s="227" t="s">
        <v>514</v>
      </c>
      <c r="D46" s="227" t="s">
        <v>514</v>
      </c>
      <c r="E46" s="227" t="s">
        <v>514</v>
      </c>
      <c r="F46" s="227" t="s">
        <v>451</v>
      </c>
      <c r="G46" s="228" t="s">
        <v>567</v>
      </c>
    </row>
    <row r="47" spans="1:7" ht="21.75" customHeight="1">
      <c r="A47" s="226" t="s">
        <v>519</v>
      </c>
      <c r="B47" s="227" t="s">
        <v>520</v>
      </c>
      <c r="C47" s="227" t="s">
        <v>451</v>
      </c>
      <c r="D47" s="227" t="s">
        <v>514</v>
      </c>
      <c r="E47" s="227" t="s">
        <v>514</v>
      </c>
      <c r="F47" s="227" t="s">
        <v>451</v>
      </c>
      <c r="G47" s="228" t="s">
        <v>521</v>
      </c>
    </row>
    <row r="48" spans="1:7" ht="21.75" customHeight="1">
      <c r="A48" s="226" t="s">
        <v>522</v>
      </c>
      <c r="B48" s="227" t="s">
        <v>568</v>
      </c>
      <c r="C48" s="227" t="s">
        <v>514</v>
      </c>
      <c r="D48" s="227" t="s">
        <v>514</v>
      </c>
      <c r="E48" s="227" t="s">
        <v>451</v>
      </c>
      <c r="F48" s="227" t="s">
        <v>451</v>
      </c>
      <c r="G48" s="228" t="s">
        <v>569</v>
      </c>
    </row>
    <row r="49" spans="1:7" ht="21.75" customHeight="1">
      <c r="A49" s="223" t="s">
        <v>570</v>
      </c>
      <c r="B49" s="222" t="s">
        <v>542</v>
      </c>
      <c r="C49" s="222" t="s">
        <v>451</v>
      </c>
      <c r="D49" s="222" t="s">
        <v>451</v>
      </c>
      <c r="E49" s="222" t="s">
        <v>451</v>
      </c>
      <c r="F49" s="222" t="s">
        <v>451</v>
      </c>
      <c r="G49" s="235" t="s">
        <v>571</v>
      </c>
    </row>
    <row r="50" spans="1:7" ht="21.75" customHeight="1">
      <c r="A50" s="226" t="s">
        <v>528</v>
      </c>
      <c r="B50" s="227" t="s">
        <v>529</v>
      </c>
      <c r="C50" s="227" t="s">
        <v>514</v>
      </c>
      <c r="D50" s="227" t="s">
        <v>514</v>
      </c>
      <c r="E50" s="227" t="s">
        <v>451</v>
      </c>
      <c r="F50" s="227" t="s">
        <v>451</v>
      </c>
      <c r="G50" s="228" t="s">
        <v>572</v>
      </c>
    </row>
    <row r="51" spans="1:7" ht="21.75" customHeight="1">
      <c r="A51" s="226" t="s">
        <v>530</v>
      </c>
      <c r="B51" s="227" t="s">
        <v>573</v>
      </c>
      <c r="C51" s="227" t="s">
        <v>514</v>
      </c>
      <c r="D51" s="227" t="s">
        <v>514</v>
      </c>
      <c r="E51" s="227" t="s">
        <v>514</v>
      </c>
      <c r="F51" s="227" t="s">
        <v>451</v>
      </c>
      <c r="G51" s="228" t="s">
        <v>574</v>
      </c>
    </row>
    <row r="52" spans="1:7" ht="21.75" customHeight="1">
      <c r="A52" s="229" t="s">
        <v>533</v>
      </c>
      <c r="B52" s="230" t="s">
        <v>534</v>
      </c>
      <c r="C52" s="230" t="s">
        <v>451</v>
      </c>
      <c r="D52" s="230" t="s">
        <v>451</v>
      </c>
      <c r="E52" s="230" t="s">
        <v>451</v>
      </c>
      <c r="F52" s="230" t="s">
        <v>451</v>
      </c>
      <c r="G52" s="231" t="s">
        <v>535</v>
      </c>
    </row>
    <row r="53" spans="1:7" ht="21.75" customHeight="1">
      <c r="A53" s="229" t="s">
        <v>536</v>
      </c>
      <c r="B53" s="230" t="s">
        <v>537</v>
      </c>
      <c r="C53" s="230" t="s">
        <v>451</v>
      </c>
      <c r="D53" s="230" t="s">
        <v>451</v>
      </c>
      <c r="E53" s="230" t="s">
        <v>451</v>
      </c>
      <c r="F53" s="230" t="s">
        <v>451</v>
      </c>
      <c r="G53" s="231" t="s">
        <v>538</v>
      </c>
    </row>
    <row r="54" spans="1:7" ht="21.75" customHeight="1">
      <c r="A54" s="229" t="s">
        <v>539</v>
      </c>
      <c r="B54" s="230" t="s">
        <v>534</v>
      </c>
      <c r="C54" s="230" t="s">
        <v>451</v>
      </c>
      <c r="D54" s="230" t="s">
        <v>451</v>
      </c>
      <c r="E54" s="230" t="s">
        <v>451</v>
      </c>
      <c r="F54" s="230" t="s">
        <v>451</v>
      </c>
      <c r="G54" s="231" t="s">
        <v>575</v>
      </c>
    </row>
    <row r="55" spans="1:7" ht="21.75" customHeight="1">
      <c r="A55" s="229" t="s">
        <v>541</v>
      </c>
      <c r="B55" s="230" t="s">
        <v>542</v>
      </c>
      <c r="C55" s="230" t="s">
        <v>451</v>
      </c>
      <c r="D55" s="230" t="s">
        <v>451</v>
      </c>
      <c r="E55" s="230" t="s">
        <v>451</v>
      </c>
      <c r="F55" s="230" t="s">
        <v>451</v>
      </c>
      <c r="G55" s="231" t="s">
        <v>543</v>
      </c>
    </row>
    <row r="56" spans="1:7" ht="21.75" customHeight="1">
      <c r="A56" s="226" t="s">
        <v>544</v>
      </c>
      <c r="B56" s="227" t="s">
        <v>576</v>
      </c>
      <c r="C56" s="227" t="s">
        <v>514</v>
      </c>
      <c r="D56" s="227" t="s">
        <v>514</v>
      </c>
      <c r="E56" s="227" t="s">
        <v>514</v>
      </c>
      <c r="F56" s="227" t="s">
        <v>451</v>
      </c>
      <c r="G56" s="228"/>
    </row>
    <row r="57" spans="1:7" ht="21.75" customHeight="1">
      <c r="A57" s="229" t="s">
        <v>546</v>
      </c>
      <c r="B57" s="230" t="s">
        <v>547</v>
      </c>
      <c r="C57" s="230" t="s">
        <v>451</v>
      </c>
      <c r="D57" s="230" t="s">
        <v>451</v>
      </c>
      <c r="E57" s="230" t="s">
        <v>451</v>
      </c>
      <c r="F57" s="230" t="s">
        <v>451</v>
      </c>
      <c r="G57" s="231" t="s">
        <v>548</v>
      </c>
    </row>
    <row r="58" spans="1:7" ht="21.75" customHeight="1">
      <c r="A58" s="226" t="s">
        <v>549</v>
      </c>
      <c r="B58" s="227" t="s">
        <v>550</v>
      </c>
      <c r="C58" s="227" t="s">
        <v>514</v>
      </c>
      <c r="D58" s="227" t="s">
        <v>514</v>
      </c>
      <c r="E58" s="227" t="s">
        <v>514</v>
      </c>
      <c r="F58" s="227" t="s">
        <v>451</v>
      </c>
      <c r="G58" s="228" t="s">
        <v>577</v>
      </c>
    </row>
    <row r="59" spans="1:7" ht="21.75" customHeight="1">
      <c r="A59" s="226" t="s">
        <v>551</v>
      </c>
      <c r="B59" s="227" t="s">
        <v>578</v>
      </c>
      <c r="C59" s="227" t="s">
        <v>514</v>
      </c>
      <c r="D59" s="227" t="s">
        <v>514</v>
      </c>
      <c r="E59" s="227" t="s">
        <v>451</v>
      </c>
      <c r="F59" s="227" t="s">
        <v>451</v>
      </c>
      <c r="G59" s="228" t="s">
        <v>579</v>
      </c>
    </row>
    <row r="60" spans="1:7" ht="21.75" customHeight="1">
      <c r="A60" s="223" t="s">
        <v>580</v>
      </c>
      <c r="B60" s="222" t="s">
        <v>542</v>
      </c>
      <c r="C60" s="222" t="s">
        <v>451</v>
      </c>
      <c r="D60" s="222" t="s">
        <v>451</v>
      </c>
      <c r="E60" s="222" t="s">
        <v>451</v>
      </c>
      <c r="F60" s="222" t="s">
        <v>451</v>
      </c>
      <c r="G60" s="235" t="s">
        <v>581</v>
      </c>
    </row>
    <row r="61" spans="1:7" ht="21.75" customHeight="1">
      <c r="A61" s="226" t="s">
        <v>559</v>
      </c>
      <c r="B61" s="227" t="s">
        <v>560</v>
      </c>
      <c r="C61" s="227" t="s">
        <v>561</v>
      </c>
      <c r="D61" s="227" t="s">
        <v>514</v>
      </c>
      <c r="E61" s="227" t="s">
        <v>514</v>
      </c>
      <c r="F61" s="227" t="s">
        <v>451</v>
      </c>
      <c r="G61" s="228" t="s">
        <v>562</v>
      </c>
    </row>
    <row r="62" spans="1:7" ht="19.5" customHeight="1"/>
    <row r="63" spans="1:7" ht="24" customHeight="1">
      <c r="A63" s="316" t="s">
        <v>582</v>
      </c>
      <c r="B63" s="316"/>
      <c r="C63" s="316"/>
      <c r="D63" s="316"/>
      <c r="E63" s="316"/>
      <c r="F63" s="316"/>
      <c r="G63" s="316"/>
    </row>
    <row r="64" spans="1:7" ht="21.75" customHeight="1">
      <c r="A64" s="224" t="s">
        <v>510</v>
      </c>
      <c r="B64" s="225" t="s">
        <v>511</v>
      </c>
      <c r="C64" s="225" t="s">
        <v>111</v>
      </c>
      <c r="D64" s="225" t="s">
        <v>126</v>
      </c>
      <c r="E64" s="225" t="s">
        <v>442</v>
      </c>
      <c r="F64" s="225" t="s">
        <v>443</v>
      </c>
      <c r="G64" s="224" t="s">
        <v>279</v>
      </c>
    </row>
    <row r="65" spans="1:7" ht="21.75" customHeight="1">
      <c r="A65" s="226" t="s">
        <v>512</v>
      </c>
      <c r="B65" s="227" t="s">
        <v>583</v>
      </c>
      <c r="C65" s="227" t="s">
        <v>451</v>
      </c>
      <c r="D65" s="227" t="s">
        <v>451</v>
      </c>
      <c r="E65" s="227" t="s">
        <v>514</v>
      </c>
      <c r="F65" s="227" t="s">
        <v>514</v>
      </c>
      <c r="G65" s="228" t="s">
        <v>584</v>
      </c>
    </row>
    <row r="66" spans="1:7" ht="21.75" customHeight="1">
      <c r="A66" s="226" t="s">
        <v>516</v>
      </c>
      <c r="B66" s="227" t="s">
        <v>585</v>
      </c>
      <c r="C66" s="227" t="s">
        <v>451</v>
      </c>
      <c r="D66" s="227" t="s">
        <v>451</v>
      </c>
      <c r="E66" s="227" t="s">
        <v>514</v>
      </c>
      <c r="F66" s="227" t="s">
        <v>514</v>
      </c>
      <c r="G66" s="228" t="s">
        <v>584</v>
      </c>
    </row>
    <row r="67" spans="1:7" ht="21.75" customHeight="1">
      <c r="A67" s="226" t="s">
        <v>522</v>
      </c>
      <c r="B67" s="227" t="s">
        <v>586</v>
      </c>
      <c r="C67" s="227" t="s">
        <v>451</v>
      </c>
      <c r="D67" s="227" t="s">
        <v>451</v>
      </c>
      <c r="E67" s="227" t="s">
        <v>514</v>
      </c>
      <c r="F67" s="227" t="s">
        <v>514</v>
      </c>
      <c r="G67" s="228"/>
    </row>
    <row r="68" spans="1:7" ht="21.75" customHeight="1">
      <c r="A68" s="226" t="s">
        <v>525</v>
      </c>
      <c r="B68" s="227" t="s">
        <v>587</v>
      </c>
      <c r="C68" s="227" t="s">
        <v>451</v>
      </c>
      <c r="D68" s="227" t="s">
        <v>451</v>
      </c>
      <c r="E68" s="227" t="s">
        <v>514</v>
      </c>
      <c r="F68" s="227" t="s">
        <v>514</v>
      </c>
      <c r="G68" s="228" t="s">
        <v>584</v>
      </c>
    </row>
    <row r="69" spans="1:7" ht="21.75" customHeight="1">
      <c r="A69" s="226" t="s">
        <v>528</v>
      </c>
      <c r="B69" s="227" t="s">
        <v>529</v>
      </c>
      <c r="C69" s="227" t="s">
        <v>451</v>
      </c>
      <c r="D69" s="227" t="s">
        <v>451</v>
      </c>
      <c r="E69" s="227" t="s">
        <v>514</v>
      </c>
      <c r="F69" s="227" t="s">
        <v>514</v>
      </c>
      <c r="G69" s="228" t="s">
        <v>588</v>
      </c>
    </row>
    <row r="70" spans="1:7" ht="21.75" customHeight="1">
      <c r="A70" s="226" t="s">
        <v>530</v>
      </c>
      <c r="B70" s="227" t="s">
        <v>583</v>
      </c>
      <c r="C70" s="227" t="s">
        <v>451</v>
      </c>
      <c r="D70" s="227" t="s">
        <v>451</v>
      </c>
      <c r="E70" s="227" t="s">
        <v>514</v>
      </c>
      <c r="F70" s="227" t="s">
        <v>514</v>
      </c>
      <c r="G70" s="228" t="s">
        <v>584</v>
      </c>
    </row>
    <row r="71" spans="1:7" ht="21.75" customHeight="1">
      <c r="A71" s="229" t="s">
        <v>533</v>
      </c>
      <c r="B71" s="230" t="s">
        <v>534</v>
      </c>
      <c r="C71" s="230" t="s">
        <v>451</v>
      </c>
      <c r="D71" s="230" t="s">
        <v>451</v>
      </c>
      <c r="E71" s="230" t="s">
        <v>451</v>
      </c>
      <c r="F71" s="230" t="s">
        <v>451</v>
      </c>
      <c r="G71" s="231" t="s">
        <v>589</v>
      </c>
    </row>
    <row r="72" spans="1:7" ht="21.75" customHeight="1">
      <c r="A72" s="226" t="s">
        <v>590</v>
      </c>
      <c r="B72" s="227" t="s">
        <v>537</v>
      </c>
      <c r="C72" s="227" t="s">
        <v>451</v>
      </c>
      <c r="D72" s="227" t="s">
        <v>451</v>
      </c>
      <c r="E72" s="227" t="s">
        <v>514</v>
      </c>
      <c r="F72" s="227" t="s">
        <v>514</v>
      </c>
      <c r="G72" s="228"/>
    </row>
    <row r="73" spans="1:7" ht="21.75" customHeight="1">
      <c r="A73" s="229" t="s">
        <v>539</v>
      </c>
      <c r="B73" s="230" t="s">
        <v>542</v>
      </c>
      <c r="C73" s="230" t="s">
        <v>451</v>
      </c>
      <c r="D73" s="230" t="s">
        <v>451</v>
      </c>
      <c r="E73" s="230" t="s">
        <v>451</v>
      </c>
      <c r="F73" s="230" t="s">
        <v>451</v>
      </c>
      <c r="G73" s="231" t="s">
        <v>542</v>
      </c>
    </row>
    <row r="74" spans="1:7" ht="21.75" customHeight="1">
      <c r="A74" s="229" t="s">
        <v>541</v>
      </c>
      <c r="B74" s="230" t="s">
        <v>542</v>
      </c>
      <c r="C74" s="230" t="s">
        <v>451</v>
      </c>
      <c r="D74" s="230" t="s">
        <v>451</v>
      </c>
      <c r="E74" s="230" t="s">
        <v>451</v>
      </c>
      <c r="F74" s="230" t="s">
        <v>451</v>
      </c>
      <c r="G74" s="231" t="s">
        <v>540</v>
      </c>
    </row>
    <row r="75" spans="1:7" ht="21.75" customHeight="1">
      <c r="A75" s="226" t="s">
        <v>544</v>
      </c>
      <c r="B75" s="227" t="s">
        <v>591</v>
      </c>
      <c r="C75" s="227" t="s">
        <v>451</v>
      </c>
      <c r="D75" s="227" t="s">
        <v>451</v>
      </c>
      <c r="E75" s="227" t="s">
        <v>514</v>
      </c>
      <c r="F75" s="227" t="s">
        <v>514</v>
      </c>
      <c r="G75" s="228" t="s">
        <v>584</v>
      </c>
    </row>
    <row r="76" spans="1:7" ht="21.75" customHeight="1">
      <c r="A76" s="226" t="s">
        <v>549</v>
      </c>
      <c r="B76" s="227" t="s">
        <v>592</v>
      </c>
      <c r="C76" s="227" t="s">
        <v>451</v>
      </c>
      <c r="D76" s="227" t="s">
        <v>451</v>
      </c>
      <c r="E76" s="227" t="s">
        <v>514</v>
      </c>
      <c r="F76" s="227" t="s">
        <v>514</v>
      </c>
      <c r="G76" s="228" t="s">
        <v>584</v>
      </c>
    </row>
    <row r="77" spans="1:7" ht="21.75" customHeight="1">
      <c r="A77" s="226" t="s">
        <v>551</v>
      </c>
      <c r="B77" s="227" t="s">
        <v>593</v>
      </c>
      <c r="C77" s="227" t="s">
        <v>451</v>
      </c>
      <c r="D77" s="227" t="s">
        <v>451</v>
      </c>
      <c r="E77" s="227" t="s">
        <v>514</v>
      </c>
      <c r="F77" s="227" t="s">
        <v>514</v>
      </c>
      <c r="G77" s="228" t="s">
        <v>594</v>
      </c>
    </row>
    <row r="78" spans="1:7" ht="21.75" customHeight="1">
      <c r="A78" s="226" t="s">
        <v>554</v>
      </c>
      <c r="B78" s="227" t="s">
        <v>595</v>
      </c>
      <c r="C78" s="227" t="s">
        <v>451</v>
      </c>
      <c r="D78" s="227" t="s">
        <v>451</v>
      </c>
      <c r="E78" s="227" t="s">
        <v>514</v>
      </c>
      <c r="F78" s="227" t="s">
        <v>514</v>
      </c>
      <c r="G78" s="228" t="s">
        <v>584</v>
      </c>
    </row>
    <row r="79" spans="1:7" ht="19.5" customHeight="1"/>
    <row r="80" spans="1:7" ht="24" customHeight="1">
      <c r="A80" s="316" t="s">
        <v>596</v>
      </c>
      <c r="B80" s="316"/>
      <c r="C80" s="316"/>
      <c r="D80" s="316"/>
      <c r="E80" s="316"/>
      <c r="F80" s="316"/>
      <c r="G80" s="316"/>
    </row>
    <row r="81" spans="1:7" ht="19.5" customHeight="1">
      <c r="A81" s="317" t="s">
        <v>597</v>
      </c>
      <c r="B81" s="317"/>
      <c r="C81" s="317"/>
      <c r="D81" s="317"/>
      <c r="E81" s="317"/>
      <c r="F81" s="317"/>
      <c r="G81" s="317"/>
    </row>
    <row r="82" spans="1:7" ht="21.75" customHeight="1">
      <c r="A82" s="216" t="s">
        <v>598</v>
      </c>
      <c r="B82" s="217" t="s">
        <v>599</v>
      </c>
      <c r="C82" s="217" t="s">
        <v>600</v>
      </c>
      <c r="D82" s="217" t="s">
        <v>271</v>
      </c>
      <c r="E82" s="217" t="s">
        <v>601</v>
      </c>
      <c r="F82" s="217" t="s">
        <v>602</v>
      </c>
      <c r="G82" s="217" t="s">
        <v>279</v>
      </c>
    </row>
    <row r="83" spans="1:7" ht="19.5" customHeight="1">
      <c r="A83" s="218" t="s">
        <v>603</v>
      </c>
      <c r="B83" s="220" t="s">
        <v>444</v>
      </c>
      <c r="C83" s="220" t="s">
        <v>604</v>
      </c>
      <c r="D83" s="219" t="s">
        <v>250</v>
      </c>
      <c r="E83" s="219" t="s">
        <v>451</v>
      </c>
      <c r="F83" s="236" t="s">
        <v>605</v>
      </c>
      <c r="G83" s="237" t="s">
        <v>606</v>
      </c>
    </row>
    <row r="84" spans="1:7" ht="19.5" customHeight="1">
      <c r="A84" s="221" t="s">
        <v>607</v>
      </c>
      <c r="B84" s="223" t="s">
        <v>444</v>
      </c>
      <c r="C84" s="223" t="s">
        <v>604</v>
      </c>
      <c r="D84" s="222" t="s">
        <v>226</v>
      </c>
      <c r="E84" s="222" t="s">
        <v>451</v>
      </c>
      <c r="F84" s="238" t="s">
        <v>608</v>
      </c>
      <c r="G84" s="235" t="s">
        <v>609</v>
      </c>
    </row>
    <row r="85" spans="1:7" ht="19.5" customHeight="1">
      <c r="A85" s="218" t="s">
        <v>610</v>
      </c>
      <c r="B85" s="220" t="s">
        <v>444</v>
      </c>
      <c r="C85" s="220" t="s">
        <v>604</v>
      </c>
      <c r="D85" s="219" t="s">
        <v>226</v>
      </c>
      <c r="E85" s="219" t="s">
        <v>611</v>
      </c>
      <c r="F85" s="239" t="s">
        <v>608</v>
      </c>
      <c r="G85" s="237" t="s">
        <v>612</v>
      </c>
    </row>
    <row r="86" spans="1:7" ht="19.5" customHeight="1">
      <c r="A86" s="221" t="s">
        <v>613</v>
      </c>
      <c r="B86" s="223" t="s">
        <v>444</v>
      </c>
      <c r="C86" s="223" t="s">
        <v>604</v>
      </c>
      <c r="D86" s="222" t="s">
        <v>614</v>
      </c>
      <c r="E86" s="222" t="s">
        <v>451</v>
      </c>
      <c r="F86" s="238" t="s">
        <v>608</v>
      </c>
      <c r="G86" s="235" t="s">
        <v>615</v>
      </c>
    </row>
    <row r="87" spans="1:7" ht="19.5" customHeight="1">
      <c r="A87" s="218" t="s">
        <v>616</v>
      </c>
      <c r="B87" s="220" t="s">
        <v>444</v>
      </c>
      <c r="C87" s="220" t="s">
        <v>604</v>
      </c>
      <c r="D87" s="219" t="s">
        <v>226</v>
      </c>
      <c r="E87" s="219" t="s">
        <v>466</v>
      </c>
      <c r="F87" s="239" t="s">
        <v>608</v>
      </c>
      <c r="G87" s="237" t="s">
        <v>617</v>
      </c>
    </row>
    <row r="88" spans="1:7" ht="19.5" customHeight="1">
      <c r="A88" s="221" t="s">
        <v>618</v>
      </c>
      <c r="B88" s="223" t="s">
        <v>444</v>
      </c>
      <c r="C88" s="223" t="s">
        <v>604</v>
      </c>
      <c r="D88" s="222" t="s">
        <v>451</v>
      </c>
      <c r="E88" s="222" t="s">
        <v>451</v>
      </c>
      <c r="F88" s="238" t="s">
        <v>608</v>
      </c>
      <c r="G88" s="235" t="s">
        <v>619</v>
      </c>
    </row>
    <row r="89" spans="1:7" ht="19.5" customHeight="1">
      <c r="A89" s="218" t="s">
        <v>620</v>
      </c>
      <c r="B89" s="220" t="s">
        <v>450</v>
      </c>
      <c r="C89" s="220" t="s">
        <v>604</v>
      </c>
      <c r="D89" s="219" t="s">
        <v>226</v>
      </c>
      <c r="E89" s="219" t="s">
        <v>497</v>
      </c>
      <c r="F89" s="239" t="s">
        <v>608</v>
      </c>
      <c r="G89" s="237" t="s">
        <v>621</v>
      </c>
    </row>
    <row r="90" spans="1:7" ht="19.5" customHeight="1">
      <c r="A90" s="221" t="s">
        <v>622</v>
      </c>
      <c r="B90" s="223" t="s">
        <v>450</v>
      </c>
      <c r="C90" s="223" t="s">
        <v>604</v>
      </c>
      <c r="D90" s="222" t="s">
        <v>250</v>
      </c>
      <c r="E90" s="222" t="s">
        <v>497</v>
      </c>
      <c r="F90" s="238" t="s">
        <v>608</v>
      </c>
      <c r="G90" s="235" t="s">
        <v>623</v>
      </c>
    </row>
    <row r="91" spans="1:7" ht="19.5" customHeight="1">
      <c r="A91" s="218" t="s">
        <v>624</v>
      </c>
      <c r="B91" s="220" t="s">
        <v>450</v>
      </c>
      <c r="C91" s="220" t="s">
        <v>604</v>
      </c>
      <c r="D91" s="219" t="s">
        <v>226</v>
      </c>
      <c r="E91" s="219" t="s">
        <v>497</v>
      </c>
      <c r="F91" s="239" t="s">
        <v>608</v>
      </c>
      <c r="G91" s="237" t="s">
        <v>625</v>
      </c>
    </row>
    <row r="92" spans="1:7" ht="19.5" customHeight="1">
      <c r="A92" s="221" t="s">
        <v>626</v>
      </c>
      <c r="B92" s="223" t="s">
        <v>450</v>
      </c>
      <c r="C92" s="223" t="s">
        <v>604</v>
      </c>
      <c r="D92" s="222" t="s">
        <v>250</v>
      </c>
      <c r="E92" s="222" t="s">
        <v>497</v>
      </c>
      <c r="F92" s="238" t="s">
        <v>608</v>
      </c>
      <c r="G92" s="235" t="s">
        <v>627</v>
      </c>
    </row>
    <row r="93" spans="1:7" ht="19.5" customHeight="1">
      <c r="A93" s="218" t="s">
        <v>628</v>
      </c>
      <c r="B93" s="220" t="s">
        <v>450</v>
      </c>
      <c r="C93" s="220" t="s">
        <v>604</v>
      </c>
      <c r="D93" s="219" t="s">
        <v>250</v>
      </c>
      <c r="E93" s="219" t="s">
        <v>497</v>
      </c>
      <c r="F93" s="239" t="s">
        <v>608</v>
      </c>
      <c r="G93" s="237" t="s">
        <v>629</v>
      </c>
    </row>
    <row r="94" spans="1:7" ht="19.5" customHeight="1">
      <c r="A94" s="221" t="s">
        <v>630</v>
      </c>
      <c r="B94" s="223" t="s">
        <v>631</v>
      </c>
      <c r="C94" s="223" t="s">
        <v>632</v>
      </c>
      <c r="D94" s="222" t="s">
        <v>226</v>
      </c>
      <c r="E94" s="222" t="s">
        <v>451</v>
      </c>
      <c r="F94" s="240" t="s">
        <v>633</v>
      </c>
      <c r="G94" s="235" t="s">
        <v>634</v>
      </c>
    </row>
    <row r="95" spans="1:7" ht="19.5" customHeight="1">
      <c r="A95" s="218" t="s">
        <v>635</v>
      </c>
      <c r="B95" s="220" t="s">
        <v>631</v>
      </c>
      <c r="C95" s="220" t="s">
        <v>636</v>
      </c>
      <c r="D95" s="219" t="s">
        <v>451</v>
      </c>
      <c r="E95" s="219" t="s">
        <v>451</v>
      </c>
      <c r="F95" s="239" t="s">
        <v>608</v>
      </c>
      <c r="G95" s="237"/>
    </row>
    <row r="96" spans="1:7" ht="19.5" customHeight="1">
      <c r="A96" s="221" t="s">
        <v>637</v>
      </c>
      <c r="B96" s="223" t="s">
        <v>631</v>
      </c>
      <c r="C96" s="223" t="s">
        <v>638</v>
      </c>
      <c r="D96" s="222" t="s">
        <v>639</v>
      </c>
      <c r="E96" s="222" t="s">
        <v>451</v>
      </c>
      <c r="F96" s="241" t="s">
        <v>605</v>
      </c>
      <c r="G96" s="235" t="s">
        <v>640</v>
      </c>
    </row>
    <row r="97" spans="1:7" ht="19.5" customHeight="1">
      <c r="A97" s="218" t="s">
        <v>641</v>
      </c>
      <c r="B97" s="220" t="s">
        <v>631</v>
      </c>
      <c r="C97" s="220" t="s">
        <v>642</v>
      </c>
      <c r="D97" s="219" t="s">
        <v>614</v>
      </c>
      <c r="E97" s="219" t="s">
        <v>451</v>
      </c>
      <c r="F97" s="236" t="s">
        <v>605</v>
      </c>
      <c r="G97" s="237" t="s">
        <v>643</v>
      </c>
    </row>
    <row r="98" spans="1:7" ht="19.5" customHeight="1">
      <c r="A98" s="221" t="s">
        <v>644</v>
      </c>
      <c r="B98" s="223" t="s">
        <v>631</v>
      </c>
      <c r="C98" s="223" t="s">
        <v>642</v>
      </c>
      <c r="D98" s="222" t="s">
        <v>614</v>
      </c>
      <c r="E98" s="222" t="s">
        <v>451</v>
      </c>
      <c r="F98" s="241" t="s">
        <v>605</v>
      </c>
      <c r="G98" s="235"/>
    </row>
    <row r="99" spans="1:7" ht="19.5" customHeight="1"/>
    <row r="100" spans="1:7" ht="24" customHeight="1">
      <c r="A100" s="316" t="s">
        <v>645</v>
      </c>
      <c r="B100" s="316"/>
      <c r="C100" s="316"/>
      <c r="D100" s="316"/>
      <c r="E100" s="316"/>
      <c r="F100" s="316"/>
      <c r="G100" s="316"/>
    </row>
    <row r="101" spans="1:7" ht="21.75" customHeight="1">
      <c r="A101" s="216" t="s">
        <v>646</v>
      </c>
      <c r="B101" s="315" t="s">
        <v>647</v>
      </c>
      <c r="C101" s="315"/>
      <c r="D101" s="315"/>
      <c r="E101" s="315"/>
      <c r="F101" s="315"/>
      <c r="G101" s="315"/>
    </row>
    <row r="102" spans="1:7" ht="18" customHeight="1">
      <c r="A102" s="242" t="s">
        <v>648</v>
      </c>
      <c r="B102" s="314" t="s">
        <v>649</v>
      </c>
      <c r="C102" s="314"/>
      <c r="D102" s="314"/>
      <c r="E102" s="314"/>
      <c r="F102" s="314"/>
      <c r="G102" s="314"/>
    </row>
    <row r="103" spans="1:7" ht="18" customHeight="1">
      <c r="A103" s="242" t="s">
        <v>650</v>
      </c>
      <c r="B103" s="314" t="s">
        <v>649</v>
      </c>
      <c r="C103" s="314"/>
      <c r="D103" s="314"/>
      <c r="E103" s="314"/>
      <c r="F103" s="314"/>
      <c r="G103" s="314"/>
    </row>
    <row r="104" spans="1:7" ht="18" customHeight="1">
      <c r="A104" s="242" t="s">
        <v>651</v>
      </c>
      <c r="B104" s="314" t="s">
        <v>652</v>
      </c>
      <c r="C104" s="314"/>
      <c r="D104" s="314"/>
      <c r="E104" s="314"/>
      <c r="F104" s="314"/>
      <c r="G104" s="314"/>
    </row>
    <row r="105" spans="1:7" ht="18" customHeight="1">
      <c r="A105" s="242" t="s">
        <v>653</v>
      </c>
      <c r="B105" s="314" t="s">
        <v>649</v>
      </c>
      <c r="C105" s="314"/>
      <c r="D105" s="314"/>
      <c r="E105" s="314"/>
      <c r="F105" s="314"/>
      <c r="G105" s="314"/>
    </row>
    <row r="106" spans="1:7" ht="18" customHeight="1">
      <c r="A106" s="242" t="s">
        <v>654</v>
      </c>
      <c r="B106" s="314" t="s">
        <v>649</v>
      </c>
      <c r="C106" s="314"/>
      <c r="D106" s="314"/>
      <c r="E106" s="314"/>
      <c r="F106" s="314"/>
      <c r="G106" s="314"/>
    </row>
    <row r="107" spans="1:7" ht="18" customHeight="1">
      <c r="A107" s="242" t="s">
        <v>655</v>
      </c>
      <c r="B107" s="314" t="s">
        <v>649</v>
      </c>
      <c r="C107" s="314"/>
      <c r="D107" s="314"/>
      <c r="E107" s="314"/>
      <c r="F107" s="314"/>
      <c r="G107" s="314"/>
    </row>
    <row r="108" spans="1:7" ht="18" customHeight="1">
      <c r="A108" s="242" t="s">
        <v>656</v>
      </c>
      <c r="B108" s="314" t="s">
        <v>649</v>
      </c>
      <c r="C108" s="314"/>
      <c r="D108" s="314"/>
      <c r="E108" s="314"/>
      <c r="F108" s="314"/>
      <c r="G108" s="314"/>
    </row>
    <row r="109" spans="1:7" ht="18" customHeight="1">
      <c r="A109" s="242" t="s">
        <v>657</v>
      </c>
      <c r="B109" s="314" t="s">
        <v>649</v>
      </c>
      <c r="C109" s="314"/>
      <c r="D109" s="314"/>
      <c r="E109" s="314"/>
      <c r="F109" s="314"/>
      <c r="G109" s="314"/>
    </row>
    <row r="110" spans="1:7" ht="18" customHeight="1">
      <c r="A110" s="242" t="s">
        <v>658</v>
      </c>
      <c r="B110" s="314" t="s">
        <v>659</v>
      </c>
      <c r="C110" s="314"/>
      <c r="D110" s="314"/>
      <c r="E110" s="314"/>
      <c r="F110" s="314"/>
      <c r="G110" s="314"/>
    </row>
    <row r="111" spans="1:7" ht="18" customHeight="1">
      <c r="A111" s="242" t="s">
        <v>660</v>
      </c>
      <c r="B111" s="314" t="s">
        <v>649</v>
      </c>
      <c r="C111" s="314"/>
      <c r="D111" s="314"/>
      <c r="E111" s="314"/>
      <c r="F111" s="314"/>
      <c r="G111" s="314"/>
    </row>
    <row r="112" spans="1:7" ht="18" customHeight="1">
      <c r="A112" s="242" t="s">
        <v>661</v>
      </c>
      <c r="B112" s="314" t="s">
        <v>649</v>
      </c>
      <c r="C112" s="314"/>
      <c r="D112" s="314"/>
      <c r="E112" s="314"/>
      <c r="F112" s="314"/>
      <c r="G112" s="314"/>
    </row>
    <row r="113" spans="1:7" ht="18" customHeight="1">
      <c r="A113" s="242" t="s">
        <v>662</v>
      </c>
      <c r="B113" s="314" t="s">
        <v>649</v>
      </c>
      <c r="C113" s="314"/>
      <c r="D113" s="314"/>
      <c r="E113" s="314"/>
      <c r="F113" s="314"/>
      <c r="G113" s="314"/>
    </row>
    <row r="114" spans="1:7" ht="18" customHeight="1">
      <c r="A114" s="242" t="s">
        <v>663</v>
      </c>
      <c r="B114" s="314" t="s">
        <v>664</v>
      </c>
      <c r="C114" s="314"/>
      <c r="D114" s="314"/>
      <c r="E114" s="314"/>
      <c r="F114" s="314"/>
      <c r="G114" s="314"/>
    </row>
    <row r="115" spans="1:7" ht="15" hidden="1" customHeight="1"/>
    <row r="116" spans="1:7" ht="15" hidden="1" customHeight="1"/>
    <row r="117" spans="1:7" ht="15" hidden="1" customHeight="1"/>
    <row r="118" spans="1:7" ht="15" hidden="1" customHeight="1"/>
    <row r="119" spans="1:7" ht="15" hidden="1" customHeight="1"/>
    <row r="120" spans="1:7" ht="15" hidden="1" customHeight="1"/>
    <row r="121" spans="1:7" ht="15" hidden="1" customHeight="1"/>
    <row r="122" spans="1:7" ht="15" hidden="1" customHeight="1"/>
    <row r="123" spans="1:7" ht="15" hidden="1" customHeight="1"/>
    <row r="124" spans="1:7" ht="15" hidden="1" customHeight="1"/>
    <row r="125" spans="1:7" ht="15" hidden="1" customHeight="1"/>
    <row r="126" spans="1:7" ht="15" hidden="1" customHeight="1"/>
    <row r="127" spans="1:7" ht="15" hidden="1" customHeight="1"/>
    <row r="128" spans="1:7"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row r="261" ht="15" hidden="1" customHeight="1"/>
    <row r="262" ht="15" hidden="1" customHeight="1"/>
    <row r="263" ht="15" hidden="1" customHeight="1"/>
    <row r="264" ht="15" hidden="1" customHeight="1"/>
    <row r="265" ht="15" hidden="1" customHeight="1"/>
    <row r="266" ht="15" hidden="1" customHeight="1"/>
    <row r="267" ht="15" hidden="1" customHeight="1"/>
    <row r="268" ht="15" hidden="1" customHeight="1"/>
    <row r="269" ht="15" hidden="1" customHeight="1"/>
    <row r="270" ht="15" hidden="1" customHeight="1"/>
    <row r="271" ht="15" hidden="1" customHeight="1"/>
    <row r="272" ht="15" hidden="1" customHeight="1"/>
    <row r="273" ht="15" hidden="1" customHeight="1"/>
    <row r="274" ht="15" hidden="1" customHeight="1"/>
    <row r="275" ht="15" hidden="1" customHeight="1"/>
    <row r="276" ht="15" hidden="1" customHeight="1"/>
    <row r="277" ht="15" hidden="1" customHeight="1"/>
    <row r="278" ht="15" hidden="1" customHeight="1"/>
    <row r="279" ht="15" hidden="1" customHeight="1"/>
    <row r="280" ht="15" hidden="1" customHeight="1"/>
    <row r="281" ht="15" hidden="1" customHeight="1"/>
    <row r="282" ht="15" hidden="1" customHeight="1"/>
    <row r="283" ht="15" hidden="1" customHeight="1"/>
    <row r="284" ht="15" hidden="1" customHeight="1"/>
    <row r="285" ht="15" hidden="1" customHeight="1"/>
    <row r="286" ht="15" hidden="1" customHeight="1"/>
    <row r="287" ht="15" hidden="1" customHeight="1"/>
    <row r="288" ht="15" hidden="1" customHeight="1"/>
    <row r="289" ht="15" hidden="1" customHeight="1"/>
    <row r="290" ht="15" hidden="1" customHeight="1"/>
    <row r="291" ht="15" hidden="1" customHeight="1"/>
    <row r="292" ht="15" hidden="1" customHeight="1"/>
    <row r="293" ht="15" hidden="1" customHeight="1"/>
    <row r="294" ht="15" hidden="1" customHeight="1"/>
    <row r="295" ht="15" hidden="1" customHeight="1"/>
    <row r="296" ht="15" hidden="1" customHeight="1"/>
    <row r="297" ht="15" hidden="1" customHeight="1"/>
    <row r="298" ht="15" hidden="1" customHeight="1"/>
    <row r="299" ht="15" hidden="1" customHeight="1"/>
    <row r="300" ht="15" hidden="1" customHeight="1"/>
    <row r="301" ht="15" hidden="1" customHeight="1"/>
    <row r="302" ht="15" hidden="1" customHeight="1"/>
    <row r="303" ht="15" hidden="1" customHeight="1"/>
    <row r="304" ht="15" hidden="1" customHeight="1"/>
    <row r="305" ht="15" hidden="1" customHeight="1"/>
    <row r="306" ht="15" hidden="1" customHeight="1"/>
    <row r="307" ht="15" hidden="1" customHeight="1"/>
    <row r="308" ht="15" hidden="1" customHeight="1"/>
    <row r="309" ht="15" hidden="1" customHeight="1"/>
    <row r="310" ht="15" hidden="1" customHeight="1"/>
    <row r="311" ht="15" hidden="1" customHeight="1"/>
    <row r="312" ht="15" hidden="1" customHeight="1"/>
    <row r="313" ht="15" hidden="1" customHeight="1"/>
    <row r="314" ht="15" hidden="1" customHeight="1"/>
  </sheetData>
  <mergeCells count="24">
    <mergeCell ref="A1:G1"/>
    <mergeCell ref="A2:G2"/>
    <mergeCell ref="A4:G4"/>
    <mergeCell ref="A5:G5"/>
    <mergeCell ref="A22:G22"/>
    <mergeCell ref="A43:G43"/>
    <mergeCell ref="A63:G63"/>
    <mergeCell ref="A80:G80"/>
    <mergeCell ref="A81:G81"/>
    <mergeCell ref="A100:G100"/>
    <mergeCell ref="B101:G101"/>
    <mergeCell ref="B102:G102"/>
    <mergeCell ref="B103:G103"/>
    <mergeCell ref="B104:G104"/>
    <mergeCell ref="B105:G105"/>
    <mergeCell ref="B111:G111"/>
    <mergeCell ref="B112:G112"/>
    <mergeCell ref="B113:G113"/>
    <mergeCell ref="B114:G114"/>
    <mergeCell ref="B106:G106"/>
    <mergeCell ref="B107:G107"/>
    <mergeCell ref="B108:G108"/>
    <mergeCell ref="B109:G109"/>
    <mergeCell ref="B110:G11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6F00"/>
  </sheetPr>
  <dimension ref="A1:Q222"/>
  <sheetViews>
    <sheetView showGridLines="0" zoomScale="140" zoomScaleNormal="140" workbookViewId="0"/>
  </sheetViews>
  <sheetFormatPr defaultColWidth="0" defaultRowHeight="15"/>
  <cols>
    <col min="1" max="2" width="12" customWidth="1"/>
    <col min="3" max="3" width="13"/>
    <col min="4" max="4" width="14" customWidth="1"/>
    <col min="5" max="5" width="12" customWidth="1"/>
    <col min="6" max="8" width="13"/>
    <col min="9" max="9" width="9" customWidth="1"/>
    <col min="10" max="12" width="14" customWidth="1"/>
    <col min="13" max="13" width="12" customWidth="1"/>
    <col min="14" max="14" width="13"/>
    <col min="15" max="16" width="14" customWidth="1"/>
    <col min="17" max="17" width="13" customWidth="1"/>
    <col min="18" max="16384" width="13" hidden="1"/>
  </cols>
  <sheetData>
    <row r="1" spans="1:17" ht="25.5" customHeight="1">
      <c r="A1" s="306" t="s">
        <v>665</v>
      </c>
      <c r="B1" s="306"/>
      <c r="C1" s="306"/>
      <c r="D1" s="306"/>
      <c r="E1" s="306"/>
      <c r="F1" s="306"/>
      <c r="G1" s="306"/>
      <c r="H1" s="306"/>
      <c r="I1" s="306"/>
      <c r="J1" s="306"/>
      <c r="K1" s="306"/>
      <c r="L1" s="306"/>
      <c r="M1" s="306"/>
      <c r="N1" s="306"/>
      <c r="O1" s="306"/>
      <c r="P1" s="306"/>
      <c r="Q1" s="306"/>
    </row>
    <row r="2" spans="1:17" ht="15.75" customHeight="1">
      <c r="A2" s="323" t="s">
        <v>666</v>
      </c>
      <c r="B2" s="323"/>
      <c r="C2" s="323"/>
      <c r="D2" s="323"/>
      <c r="E2" s="323"/>
      <c r="F2" s="323"/>
      <c r="G2" s="323"/>
      <c r="H2" s="323"/>
      <c r="I2" s="323"/>
      <c r="J2" s="323"/>
      <c r="K2" s="323"/>
      <c r="L2" s="323"/>
      <c r="M2" s="323"/>
      <c r="N2" s="323"/>
      <c r="O2" s="323"/>
      <c r="P2" s="323"/>
      <c r="Q2" s="323"/>
    </row>
    <row r="3" spans="1:17" ht="4.5" customHeight="1">
      <c r="A3" s="334"/>
      <c r="B3" s="334"/>
      <c r="C3" s="334"/>
      <c r="D3" s="334"/>
      <c r="E3" s="334"/>
      <c r="F3" s="334"/>
      <c r="G3" s="334"/>
      <c r="H3" s="334"/>
      <c r="I3" s="334"/>
      <c r="J3" s="334"/>
      <c r="K3" s="334"/>
      <c r="L3" s="334"/>
      <c r="M3" s="334"/>
      <c r="N3" s="334"/>
      <c r="O3" s="334"/>
      <c r="P3" s="334"/>
      <c r="Q3" s="334"/>
    </row>
    <row r="4" spans="1:17" ht="19.5" customHeight="1">
      <c r="B4" s="324" t="s">
        <v>667</v>
      </c>
      <c r="C4" s="324"/>
      <c r="D4" s="324"/>
      <c r="E4" s="324" t="s">
        <v>668</v>
      </c>
      <c r="F4" s="324"/>
      <c r="G4" s="324" t="s">
        <v>669</v>
      </c>
      <c r="H4" s="324"/>
      <c r="I4" s="324"/>
      <c r="J4" s="324" t="s">
        <v>670</v>
      </c>
      <c r="K4" s="324"/>
      <c r="L4" s="324"/>
      <c r="M4" s="324" t="s">
        <v>671</v>
      </c>
      <c r="N4" s="324"/>
      <c r="O4" s="324"/>
      <c r="P4" s="243" t="s">
        <v>672</v>
      </c>
      <c r="Q4" s="243" t="s">
        <v>673</v>
      </c>
    </row>
    <row r="5" spans="1:17" ht="18" customHeight="1">
      <c r="A5" s="115" t="s">
        <v>674</v>
      </c>
      <c r="B5" s="244" t="s">
        <v>101</v>
      </c>
      <c r="C5" s="245" t="s">
        <v>129</v>
      </c>
      <c r="D5" s="246" t="s">
        <v>135</v>
      </c>
      <c r="E5" s="244" t="s">
        <v>101</v>
      </c>
      <c r="F5" s="245" t="s">
        <v>129</v>
      </c>
      <c r="G5" s="244" t="s">
        <v>101</v>
      </c>
      <c r="H5" s="245" t="s">
        <v>129</v>
      </c>
      <c r="I5" s="247" t="s">
        <v>107</v>
      </c>
      <c r="J5" s="244" t="s">
        <v>101</v>
      </c>
      <c r="K5" s="245" t="s">
        <v>129</v>
      </c>
      <c r="L5" s="246" t="s">
        <v>135</v>
      </c>
      <c r="M5" s="244" t="s">
        <v>101</v>
      </c>
      <c r="N5" s="245" t="s">
        <v>129</v>
      </c>
      <c r="O5" s="246" t="s">
        <v>135</v>
      </c>
      <c r="P5" s="247" t="s">
        <v>107</v>
      </c>
      <c r="Q5" s="247" t="s">
        <v>107</v>
      </c>
    </row>
    <row r="6" spans="1:17" ht="13.5" customHeight="1">
      <c r="A6" s="248" t="s">
        <v>675</v>
      </c>
      <c r="B6" s="249" t="s">
        <v>273</v>
      </c>
      <c r="C6" s="249" t="s">
        <v>273</v>
      </c>
      <c r="D6" s="249" t="s">
        <v>273</v>
      </c>
      <c r="E6" s="249" t="s">
        <v>273</v>
      </c>
      <c r="F6" s="249" t="s">
        <v>273</v>
      </c>
      <c r="G6" s="249" t="s">
        <v>273</v>
      </c>
      <c r="H6" s="249" t="s">
        <v>273</v>
      </c>
      <c r="I6" s="249" t="s">
        <v>273</v>
      </c>
      <c r="J6" s="249" t="s">
        <v>273</v>
      </c>
      <c r="K6" s="249" t="s">
        <v>273</v>
      </c>
      <c r="L6" s="249" t="s">
        <v>273</v>
      </c>
      <c r="M6" s="249" t="s">
        <v>273</v>
      </c>
      <c r="N6" s="249" t="s">
        <v>273</v>
      </c>
      <c r="O6" s="249" t="s">
        <v>273</v>
      </c>
      <c r="P6" s="249" t="s">
        <v>273</v>
      </c>
      <c r="Q6" s="249" t="s">
        <v>273</v>
      </c>
    </row>
    <row r="7" spans="1:17" ht="19.5" customHeight="1">
      <c r="A7" s="248" t="s">
        <v>676</v>
      </c>
      <c r="B7" s="250"/>
      <c r="C7" s="251" t="s">
        <v>677</v>
      </c>
      <c r="D7" s="250"/>
      <c r="E7" s="252" t="s">
        <v>678</v>
      </c>
      <c r="F7" s="251" t="s">
        <v>679</v>
      </c>
      <c r="G7" s="252" t="s">
        <v>679</v>
      </c>
      <c r="H7" s="251" t="s">
        <v>679</v>
      </c>
      <c r="I7" s="250"/>
      <c r="J7" s="252" t="s">
        <v>679</v>
      </c>
      <c r="K7" s="251" t="s">
        <v>680</v>
      </c>
      <c r="L7" s="250"/>
      <c r="M7" s="250"/>
      <c r="N7" s="251" t="s">
        <v>679</v>
      </c>
      <c r="O7" s="250"/>
      <c r="P7" s="253" t="s">
        <v>681</v>
      </c>
      <c r="Q7" s="253" t="s">
        <v>681</v>
      </c>
    </row>
    <row r="8" spans="1:17" ht="19.5" customHeight="1">
      <c r="A8" s="248" t="s">
        <v>682</v>
      </c>
      <c r="B8" s="252" t="s">
        <v>683</v>
      </c>
      <c r="C8" s="250"/>
      <c r="D8" s="250"/>
      <c r="E8" s="250"/>
      <c r="F8" s="250"/>
      <c r="G8" s="250"/>
      <c r="H8" s="250"/>
      <c r="I8" s="250"/>
      <c r="J8" s="250"/>
      <c r="K8" s="250"/>
      <c r="L8" s="250"/>
      <c r="M8" s="252" t="s">
        <v>683</v>
      </c>
      <c r="N8" s="250"/>
      <c r="O8" s="250"/>
      <c r="P8" s="250"/>
      <c r="Q8" s="250"/>
    </row>
    <row r="9" spans="1:17" ht="15.75" customHeight="1">
      <c r="A9" s="248" t="s">
        <v>684</v>
      </c>
      <c r="B9" s="250"/>
      <c r="C9" s="250"/>
      <c r="D9" s="250"/>
      <c r="E9" s="250"/>
      <c r="F9" s="250"/>
      <c r="G9" s="250"/>
      <c r="H9" s="250"/>
      <c r="I9" s="250"/>
      <c r="J9" s="250"/>
      <c r="K9" s="250"/>
      <c r="L9" s="250"/>
      <c r="M9" s="250"/>
      <c r="N9" s="250"/>
      <c r="O9" s="250"/>
      <c r="P9" s="250"/>
      <c r="Q9" s="250"/>
    </row>
    <row r="10" spans="1:17" ht="19.5" customHeight="1">
      <c r="A10" s="248" t="s">
        <v>685</v>
      </c>
      <c r="B10" s="250"/>
      <c r="C10" s="250"/>
      <c r="D10" s="254" t="s">
        <v>686</v>
      </c>
      <c r="E10" s="250"/>
      <c r="F10" s="250"/>
      <c r="G10" s="250"/>
      <c r="H10" s="250"/>
      <c r="I10" s="250"/>
      <c r="J10" s="250"/>
      <c r="K10" s="250"/>
      <c r="L10" s="250"/>
      <c r="M10" s="250"/>
      <c r="N10" s="250"/>
      <c r="O10" s="254" t="s">
        <v>686</v>
      </c>
      <c r="P10" s="250"/>
      <c r="Q10" s="250"/>
    </row>
    <row r="11" spans="1:17" ht="19.5" customHeight="1">
      <c r="A11" s="248" t="s">
        <v>687</v>
      </c>
      <c r="B11" s="250"/>
      <c r="C11" s="250"/>
      <c r="D11" s="250"/>
      <c r="E11" s="250"/>
      <c r="F11" s="250"/>
      <c r="G11" s="250"/>
      <c r="H11" s="250"/>
      <c r="I11" s="250"/>
      <c r="J11" s="250"/>
      <c r="K11" s="250"/>
      <c r="L11" s="254" t="s">
        <v>688</v>
      </c>
      <c r="M11" s="250"/>
      <c r="N11" s="250"/>
      <c r="O11" s="250"/>
      <c r="P11" s="250"/>
      <c r="Q11" s="250"/>
    </row>
    <row r="12" spans="1:17" ht="24" customHeight="1">
      <c r="A12" s="248" t="s">
        <v>689</v>
      </c>
      <c r="B12" s="250"/>
      <c r="C12" s="250"/>
      <c r="D12" s="255" t="s">
        <v>690</v>
      </c>
      <c r="E12" s="250"/>
      <c r="F12" s="250"/>
      <c r="G12" s="250"/>
      <c r="H12" s="250"/>
      <c r="I12" s="253" t="s">
        <v>691</v>
      </c>
      <c r="J12" s="250"/>
      <c r="K12" s="256" t="s">
        <v>692</v>
      </c>
      <c r="L12" s="250"/>
      <c r="M12" s="250"/>
      <c r="N12" s="250"/>
      <c r="O12" s="255" t="s">
        <v>690</v>
      </c>
      <c r="P12" s="250"/>
      <c r="Q12" s="250"/>
    </row>
    <row r="13" spans="1:17" ht="19.5" customHeight="1">
      <c r="A13" s="248" t="s">
        <v>693</v>
      </c>
      <c r="B13" s="250"/>
      <c r="C13" s="250"/>
      <c r="D13" s="250"/>
      <c r="E13" s="250"/>
      <c r="F13" s="250"/>
      <c r="G13" s="250"/>
      <c r="H13" s="250"/>
      <c r="I13" s="250"/>
      <c r="J13" s="256" t="s">
        <v>694</v>
      </c>
      <c r="K13" s="250"/>
      <c r="L13" s="250"/>
      <c r="M13" s="250"/>
      <c r="N13" s="250"/>
      <c r="O13" s="250"/>
      <c r="P13" s="250"/>
      <c r="Q13" s="250"/>
    </row>
    <row r="14" spans="1:17" ht="13.5" customHeight="1">
      <c r="A14" s="248" t="s">
        <v>695</v>
      </c>
      <c r="B14" s="249" t="s">
        <v>273</v>
      </c>
      <c r="C14" s="249" t="s">
        <v>273</v>
      </c>
      <c r="D14" s="249" t="s">
        <v>273</v>
      </c>
      <c r="E14" s="249" t="s">
        <v>273</v>
      </c>
      <c r="F14" s="249" t="s">
        <v>273</v>
      </c>
      <c r="G14" s="249" t="s">
        <v>273</v>
      </c>
      <c r="H14" s="249" t="s">
        <v>273</v>
      </c>
      <c r="I14" s="249" t="s">
        <v>273</v>
      </c>
      <c r="J14" s="249" t="s">
        <v>273</v>
      </c>
      <c r="K14" s="249" t="s">
        <v>273</v>
      </c>
      <c r="L14" s="249" t="s">
        <v>273</v>
      </c>
      <c r="M14" s="249" t="s">
        <v>273</v>
      </c>
      <c r="N14" s="249" t="s">
        <v>273</v>
      </c>
      <c r="O14" s="249" t="s">
        <v>273</v>
      </c>
      <c r="P14" s="249" t="s">
        <v>273</v>
      </c>
      <c r="Q14" s="249" t="s">
        <v>273</v>
      </c>
    </row>
    <row r="16" spans="1:17" ht="18" customHeight="1">
      <c r="A16" s="322" t="s">
        <v>696</v>
      </c>
      <c r="B16" s="322"/>
      <c r="C16" s="322"/>
      <c r="D16" s="322"/>
      <c r="E16" s="322"/>
      <c r="F16" s="322"/>
      <c r="G16" s="322"/>
      <c r="H16" s="322"/>
      <c r="I16" s="322"/>
      <c r="J16" s="322"/>
      <c r="K16" s="322"/>
      <c r="L16" s="322"/>
      <c r="M16" s="322"/>
      <c r="N16" s="322"/>
      <c r="O16" s="322"/>
      <c r="P16" s="322"/>
      <c r="Q16" s="322"/>
    </row>
    <row r="17" spans="1:17" ht="18" customHeight="1">
      <c r="A17" s="257" t="s">
        <v>697</v>
      </c>
      <c r="B17" s="320" t="s">
        <v>698</v>
      </c>
      <c r="C17" s="320"/>
      <c r="D17" s="320"/>
      <c r="E17" s="320"/>
      <c r="F17" s="320"/>
      <c r="G17" s="320"/>
      <c r="H17" s="320"/>
      <c r="I17" s="320"/>
      <c r="J17" s="321" t="s">
        <v>699</v>
      </c>
      <c r="K17" s="321"/>
      <c r="L17" s="321"/>
      <c r="M17" s="321"/>
      <c r="N17" s="321"/>
      <c r="O17" s="321"/>
      <c r="P17" s="321"/>
      <c r="Q17" s="321"/>
    </row>
    <row r="18" spans="1:17" ht="18" customHeight="1">
      <c r="A18" s="257" t="s">
        <v>700</v>
      </c>
      <c r="B18" s="320" t="s">
        <v>701</v>
      </c>
      <c r="C18" s="320"/>
      <c r="D18" s="320"/>
      <c r="E18" s="320"/>
      <c r="F18" s="320"/>
      <c r="G18" s="320"/>
      <c r="H18" s="320"/>
      <c r="I18" s="320"/>
      <c r="J18" s="321" t="s">
        <v>702</v>
      </c>
      <c r="K18" s="321"/>
      <c r="L18" s="321"/>
      <c r="M18" s="321"/>
      <c r="N18" s="321"/>
      <c r="O18" s="321"/>
      <c r="P18" s="321"/>
      <c r="Q18" s="321"/>
    </row>
    <row r="19" spans="1:17" ht="18" customHeight="1">
      <c r="A19" s="257" t="s">
        <v>703</v>
      </c>
      <c r="B19" s="320" t="s">
        <v>698</v>
      </c>
      <c r="C19" s="320"/>
      <c r="D19" s="320"/>
      <c r="E19" s="320"/>
      <c r="F19" s="320"/>
      <c r="G19" s="320"/>
      <c r="H19" s="320"/>
      <c r="I19" s="320"/>
      <c r="J19" s="321" t="s">
        <v>704</v>
      </c>
      <c r="K19" s="321"/>
      <c r="L19" s="321"/>
      <c r="M19" s="321"/>
      <c r="N19" s="321"/>
      <c r="O19" s="321"/>
      <c r="P19" s="321"/>
      <c r="Q19" s="321"/>
    </row>
    <row r="20" spans="1:17" ht="18" customHeight="1">
      <c r="A20" s="257" t="s">
        <v>705</v>
      </c>
      <c r="B20" s="320" t="s">
        <v>701</v>
      </c>
      <c r="C20" s="320"/>
      <c r="D20" s="320"/>
      <c r="E20" s="320"/>
      <c r="F20" s="320"/>
      <c r="G20" s="320"/>
      <c r="H20" s="320"/>
      <c r="I20" s="320"/>
      <c r="J20" s="321" t="s">
        <v>706</v>
      </c>
      <c r="K20" s="321"/>
      <c r="L20" s="321"/>
      <c r="M20" s="321"/>
      <c r="N20" s="321"/>
      <c r="O20" s="321"/>
      <c r="P20" s="321"/>
      <c r="Q20" s="321"/>
    </row>
    <row r="21" spans="1:17" ht="18" customHeight="1">
      <c r="A21" s="257" t="s">
        <v>707</v>
      </c>
      <c r="B21" s="320" t="s">
        <v>701</v>
      </c>
      <c r="C21" s="320"/>
      <c r="D21" s="320"/>
      <c r="E21" s="320"/>
      <c r="F21" s="320"/>
      <c r="G21" s="320"/>
      <c r="H21" s="320"/>
      <c r="I21" s="320"/>
      <c r="J21" s="321" t="s">
        <v>702</v>
      </c>
      <c r="K21" s="321"/>
      <c r="L21" s="321"/>
      <c r="M21" s="321"/>
      <c r="N21" s="321"/>
      <c r="O21" s="321"/>
      <c r="P21" s="321"/>
      <c r="Q21" s="321"/>
    </row>
    <row r="22" spans="1:17" ht="18" customHeight="1">
      <c r="A22" s="257" t="s">
        <v>708</v>
      </c>
      <c r="B22" s="320" t="s">
        <v>701</v>
      </c>
      <c r="C22" s="320"/>
      <c r="D22" s="320"/>
      <c r="E22" s="320"/>
      <c r="F22" s="320"/>
      <c r="G22" s="320"/>
      <c r="H22" s="320"/>
      <c r="I22" s="320"/>
      <c r="J22" s="321" t="s">
        <v>702</v>
      </c>
      <c r="K22" s="321"/>
      <c r="L22" s="321"/>
      <c r="M22" s="321"/>
      <c r="N22" s="321"/>
      <c r="O22" s="321"/>
      <c r="P22" s="321"/>
      <c r="Q22" s="321"/>
    </row>
    <row r="23" spans="1:17" ht="15" hidden="1" customHeight="1"/>
    <row r="24" spans="1:17" ht="15" hidden="1" customHeight="1"/>
    <row r="25" spans="1:17" ht="15" hidden="1" customHeight="1"/>
    <row r="26" spans="1:17" ht="15" hidden="1" customHeight="1"/>
    <row r="27" spans="1:17" ht="15" hidden="1" customHeight="1"/>
    <row r="28" spans="1:17" ht="15" hidden="1" customHeight="1"/>
    <row r="29" spans="1:17" ht="15" hidden="1" customHeight="1"/>
    <row r="30" spans="1:17" ht="15" hidden="1" customHeight="1"/>
    <row r="31" spans="1:17" ht="15" hidden="1" customHeight="1"/>
    <row r="32" spans="1:17"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sheetData>
  <mergeCells count="21">
    <mergeCell ref="A1:Q1"/>
    <mergeCell ref="A2:Q2"/>
    <mergeCell ref="A3:Q3"/>
    <mergeCell ref="B4:D4"/>
    <mergeCell ref="E4:F4"/>
    <mergeCell ref="G4:I4"/>
    <mergeCell ref="J4:L4"/>
    <mergeCell ref="M4:O4"/>
    <mergeCell ref="A16:Q16"/>
    <mergeCell ref="B17:I17"/>
    <mergeCell ref="J17:Q17"/>
    <mergeCell ref="B18:I18"/>
    <mergeCell ref="J18:Q18"/>
    <mergeCell ref="B22:I22"/>
    <mergeCell ref="J22:Q22"/>
    <mergeCell ref="B19:I19"/>
    <mergeCell ref="J19:Q19"/>
    <mergeCell ref="B20:I20"/>
    <mergeCell ref="J20:Q20"/>
    <mergeCell ref="B21:I21"/>
    <mergeCell ref="J21:Q2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46E7A"/>
  </sheetPr>
  <dimension ref="A1:D250"/>
  <sheetViews>
    <sheetView showGridLines="0" zoomScale="140" zoomScaleNormal="140" workbookViewId="0"/>
  </sheetViews>
  <sheetFormatPr defaultColWidth="0" defaultRowHeight="15"/>
  <cols>
    <col min="1" max="1" width="10" customWidth="1"/>
    <col min="2" max="2" width="24" customWidth="1"/>
    <col min="3" max="3" width="8" customWidth="1"/>
    <col min="4" max="4" width="12" customWidth="1"/>
    <col min="5" max="16384" width="13" hidden="1"/>
  </cols>
  <sheetData>
    <row r="1" spans="1:4" ht="21.75" customHeight="1">
      <c r="A1" s="316" t="s">
        <v>709</v>
      </c>
      <c r="B1" s="316"/>
      <c r="C1" s="316"/>
      <c r="D1" s="316"/>
    </row>
    <row r="2" spans="1:4" ht="18" customHeight="1">
      <c r="A2" s="327" t="str">
        <f>"HP: "&amp;COUNTIF('🛏 HP Bed Board'!B10:B23,"Occupied")&amp;"/14  ·  HPE: "&amp;(COUNTIF('🛏 HPE Bed Board'!B11:B16,"Occupied")+COUNTIF('🛏 HPE Bed Board'!B18:B23,"Occupied"))&amp;"/12  ·  Total: "&amp;(COUNTIF('🛏 HP Bed Board'!B10:B23,"Occupied")+(COUNTIF('🛏 HPE Bed Board'!B11:B16,"Occupied")+COUNTIF('🛏 HPE Bed Board'!B18:B23,"Occupied")))&amp;"/26"</f>
        <v>HP: 11/14  ·  HPE: 9/12  ·  Total: 20/26</v>
      </c>
      <c r="B2" s="327"/>
      <c r="C2" s="327"/>
      <c r="D2" s="327"/>
    </row>
    <row r="3" spans="1:4" ht="15" customHeight="1">
      <c r="A3" s="328" t="str">
        <f ca="1">IF((COUNTIFS('🛏 HP Bed Board'!B10:B23,"Occupied",'🛏 HP Bed Board'!H10:H23,"&gt;="&amp;TODAY(),'🛏 HP Bed Board'!H10:H23,"&lt;="&amp;TODAY()+7)+COUNTIFS('🛏 HPE Bed Board'!B11:B16,"Occupied",'🛏 HPE Bed Board'!H11:H16,"&gt;="&amp;TODAY(),'🛏 HPE Bed Board'!H11:H16,"&lt;="&amp;TODAY()+7)+COUNTIFS('🛏 HPE Bed Board'!B18:B23,"Occupied",'🛏 HPE Bed Board'!H18:H23,"&gt;="&amp;TODAY(),'🛏 HPE Bed Board'!H18:H23,"&lt;="&amp;TODAY()+7))=0,"✅  No discharges in next 7 days",(COUNTIFS('🛏 HP Bed Board'!B10:B23,"Occupied",'🛏 HP Bed Board'!H10:H23,"&gt;="&amp;TODAY(),'🛏 HP Bed Board'!H10:H23,"&lt;="&amp;TODAY()+7)+COUNTIFS('🛏 HPE Bed Board'!B11:B16,"Occupied",'🛏 HPE Bed Board'!H11:H16,"&gt;="&amp;TODAY(),'🛏 HPE Bed Board'!H11:H16,"&lt;="&amp;TODAY()+7)+COUNTIFS('🛏 HPE Bed Board'!B18:B23,"Occupied",'🛏 HPE Bed Board'!H18:H23,"&gt;="&amp;TODAY(),'🛏 HPE Bed Board'!H18:H23,"&lt;="&amp;TODAY()+7))&amp;" client(s) DC within 7 days")</f>
        <v>4 client(s) DC within 7 days</v>
      </c>
      <c r="B3" s="328"/>
      <c r="C3" s="328"/>
      <c r="D3" s="328"/>
    </row>
    <row r="4" spans="1:4" ht="4.5" customHeight="1">
      <c r="A4" s="329"/>
      <c r="B4" s="329"/>
      <c r="C4" s="329"/>
      <c r="D4" s="329"/>
    </row>
    <row r="5" spans="1:4" ht="15.75" customHeight="1">
      <c r="A5" s="330" t="s">
        <v>710</v>
      </c>
      <c r="B5" s="330"/>
      <c r="C5" s="330"/>
      <c r="D5" s="330"/>
    </row>
    <row r="6" spans="1:4" ht="12.75" customHeight="1">
      <c r="A6" s="258" t="s">
        <v>178</v>
      </c>
      <c r="B6" s="258" t="s">
        <v>188</v>
      </c>
      <c r="C6" s="258" t="s">
        <v>18</v>
      </c>
      <c r="D6" s="258" t="s">
        <v>711</v>
      </c>
    </row>
    <row r="7" spans="1:4" ht="19.5" customHeight="1">
      <c r="A7" s="85" t="str">
        <f>'🛏 HP Bed Board'!A10</f>
        <v>DTX-A</v>
      </c>
      <c r="B7" s="86" t="str">
        <f>IF('🛏 HP Bed Board'!B10="Occupied",'🛏 HP Bed Board'!C10,IF('🛏 HP Bed Board'!B10="Reserved","Reserved: "&amp;'🛏 HP Bed Board'!C10,IF('🛏 HP Bed Board'!B10="Open","— open —","")))</f>
        <v>— open —</v>
      </c>
      <c r="C7" s="85" t="str">
        <f>IF('🛏 HP Bed Board'!B10="Occupied",IF('🛏 HP Bed Board'!F10&lt;&gt;"",'🛏 HP Bed Board'!F10,'🛏 HP Bed Board'!E10),"")</f>
        <v/>
      </c>
      <c r="D7" s="85" t="str">
        <f ca="1">IF('🛏 HP Bed Board'!B10="Occupied",IF('🛏 HP Bed Board'!H10="","—",IF('🛏 HP Bed Board'!H10&lt;TODAY(),"PAST",IF('🛏 HP Bed Board'!H10=TODAY(),"TODAY","DC "&amp;TEXT('🛏 HP Bed Board'!H10,"M/D")&amp;" ("&amp;INT('🛏 HP Bed Board'!H10-TODAY())&amp;"d)"))),"—")</f>
        <v>—</v>
      </c>
    </row>
    <row r="8" spans="1:4" ht="19.5" customHeight="1">
      <c r="A8" s="85" t="str">
        <f>'🛏 HP Bed Board'!A11</f>
        <v>DTX-B</v>
      </c>
      <c r="B8" s="86" t="str">
        <f>IF('🛏 HP Bed Board'!B11="Occupied",'🛏 HP Bed Board'!C11,IF('🛏 HP Bed Board'!B11="Reserved","Reserved: "&amp;'🛏 HP Bed Board'!C11,IF('🛏 HP Bed Board'!B11="Open","— open —","")))</f>
        <v>— open —</v>
      </c>
      <c r="C8" s="85" t="str">
        <f>IF('🛏 HP Bed Board'!B11="Occupied",IF('🛏 HP Bed Board'!F11&lt;&gt;"",'🛏 HP Bed Board'!F11,'🛏 HP Bed Board'!E11),"")</f>
        <v/>
      </c>
      <c r="D8" s="85" t="str">
        <f ca="1">IF('🛏 HP Bed Board'!B11="Occupied",IF('🛏 HP Bed Board'!H11="","—",IF('🛏 HP Bed Board'!H11&lt;TODAY(),"PAST",IF('🛏 HP Bed Board'!H11=TODAY(),"TODAY","DC "&amp;TEXT('🛏 HP Bed Board'!H11,"M/D")&amp;" ("&amp;INT('🛏 HP Bed Board'!H11-TODAY())&amp;"d)"))),"—")</f>
        <v>—</v>
      </c>
    </row>
    <row r="9" spans="1:4" ht="19.5" customHeight="1">
      <c r="A9" s="85" t="str">
        <f>'🛏 HP Bed Board'!A12</f>
        <v>M1-A</v>
      </c>
      <c r="B9" s="86" t="str">
        <f>IF('🛏 HP Bed Board'!B12="Occupied",'🛏 HP Bed Board'!C12,IF('🛏 HP Bed Board'!B12="Reserved","Reserved: "&amp;'🛏 HP Bed Board'!C12,IF('🛏 HP Bed Board'!B12="Open","— open —","")))</f>
        <v>Kurt Guisler</v>
      </c>
      <c r="C9" s="85" t="str">
        <f>IF('🛏 HP Bed Board'!B12="Occupied",IF('🛏 HP Bed Board'!F12&lt;&gt;"",'🛏 HP Bed Board'!F12,'🛏 HP Bed Board'!E12),"")</f>
        <v>DTX/RTC</v>
      </c>
      <c r="D9" s="85" t="str">
        <f ca="1">IF('🛏 HP Bed Board'!B12="Occupied",IF('🛏 HP Bed Board'!H12="","—",IF('🛏 HP Bed Board'!H12&lt;TODAY(),"PAST",IF('🛏 HP Bed Board'!H12=TODAY(),"TODAY","DC "&amp;TEXT('🛏 HP Bed Board'!H12,"M/D")&amp;" ("&amp;INT('🛏 HP Bed Board'!H12-TODAY())&amp;"d)"))),"—")</f>
        <v>DC 6/28 (11d)</v>
      </c>
    </row>
    <row r="10" spans="1:4" ht="19.5" customHeight="1">
      <c r="A10" s="85" t="str">
        <f>'🛏 HP Bed Board'!A13</f>
        <v>M1-B</v>
      </c>
      <c r="B10" s="86" t="str">
        <f>IF('🛏 HP Bed Board'!B13="Occupied",'🛏 HP Bed Board'!C13,IF('🛏 HP Bed Board'!B13="Reserved","Reserved: "&amp;'🛏 HP Bed Board'!C13,IF('🛏 HP Bed Board'!B13="Open","— open —","")))</f>
        <v>Pedro Mendoza</v>
      </c>
      <c r="C10" s="85" t="str">
        <f>IF('🛏 HP Bed Board'!B13="Occupied",IF('🛏 HP Bed Board'!F13&lt;&gt;"",'🛏 HP Bed Board'!F13,'🛏 HP Bed Board'!E13),"")</f>
        <v>DTX/RTC</v>
      </c>
      <c r="D10" s="85" t="str">
        <f ca="1">IF('🛏 HP Bed Board'!B13="Occupied",IF('🛏 HP Bed Board'!H13="","—",IF('🛏 HP Bed Board'!H13&lt;TODAY(),"PAST",IF('🛏 HP Bed Board'!H13=TODAY(),"TODAY","DC "&amp;TEXT('🛏 HP Bed Board'!H13,"M/D")&amp;" ("&amp;INT('🛏 HP Bed Board'!H13-TODAY())&amp;"d)"))),"—")</f>
        <v>DC 7/2 (15d)</v>
      </c>
    </row>
    <row r="11" spans="1:4" ht="19.5" customHeight="1">
      <c r="A11" s="85" t="str">
        <f>'🛏 HP Bed Board'!A14</f>
        <v>M2-A</v>
      </c>
      <c r="B11" s="86" t="str">
        <f>IF('🛏 HP Bed Board'!B14="Occupied",'🛏 HP Bed Board'!C14,IF('🛏 HP Bed Board'!B14="Reserved","Reserved: "&amp;'🛏 HP Bed Board'!C14,IF('🛏 HP Bed Board'!B14="Open","— open —","")))</f>
        <v>— open —</v>
      </c>
      <c r="C11" s="85" t="str">
        <f>IF('🛏 HP Bed Board'!B14="Occupied",IF('🛏 HP Bed Board'!F14&lt;&gt;"",'🛏 HP Bed Board'!F14,'🛏 HP Bed Board'!E14),"")</f>
        <v/>
      </c>
      <c r="D11" s="85" t="str">
        <f ca="1">IF('🛏 HP Bed Board'!B14="Occupied",IF('🛏 HP Bed Board'!H14="","—",IF('🛏 HP Bed Board'!H14&lt;TODAY(),"PAST",IF('🛏 HP Bed Board'!H14=TODAY(),"TODAY","DC "&amp;TEXT('🛏 HP Bed Board'!H14,"M/D")&amp;" ("&amp;INT('🛏 HP Bed Board'!H14-TODAY())&amp;"d)"))),"—")</f>
        <v>—</v>
      </c>
    </row>
    <row r="12" spans="1:4" ht="19.5" customHeight="1">
      <c r="A12" s="85" t="str">
        <f>'🛏 HP Bed Board'!A15</f>
        <v>M2-B</v>
      </c>
      <c r="B12" s="86" t="str">
        <f>IF('🛏 HP Bed Board'!B15="Occupied",'🛏 HP Bed Board'!C15,IF('🛏 HP Bed Board'!B15="Reserved","Reserved: "&amp;'🛏 HP Bed Board'!C15,IF('🛏 HP Bed Board'!B15="Open","— open —","")))</f>
        <v>Darian Loehner</v>
      </c>
      <c r="C12" s="85" t="str">
        <f>IF('🛏 HP Bed Board'!B15="Occupied",IF('🛏 HP Bed Board'!F15&lt;&gt;"",'🛏 HP Bed Board'!F15,'🛏 HP Bed Board'!E15),"")</f>
        <v>DTX</v>
      </c>
      <c r="D12" s="85" t="str">
        <f ca="1">IF('🛏 HP Bed Board'!B15="Occupied",IF('🛏 HP Bed Board'!H15="","—",IF('🛏 HP Bed Board'!H15&lt;TODAY(),"PAST",IF('🛏 HP Bed Board'!H15=TODAY(),"TODAY","DC "&amp;TEXT('🛏 HP Bed Board'!H15,"M/D")&amp;" ("&amp;INT('🛏 HP Bed Board'!H15-TODAY())&amp;"d)"))),"—")</f>
        <v>DC 6/20 (3d)</v>
      </c>
    </row>
    <row r="13" spans="1:4" ht="19.5" customHeight="1">
      <c r="A13" s="85" t="str">
        <f>'🛏 HP Bed Board'!A16</f>
        <v>M3-A</v>
      </c>
      <c r="B13" s="86" t="str">
        <f>IF('🛏 HP Bed Board'!B16="Occupied",'🛏 HP Bed Board'!C16,IF('🛏 HP Bed Board'!B16="Reserved","Reserved: "&amp;'🛏 HP Bed Board'!C16,IF('🛏 HP Bed Board'!B16="Open","— open —","")))</f>
        <v>Jill Labate</v>
      </c>
      <c r="C13" s="85" t="str">
        <f>IF('🛏 HP Bed Board'!B16="Occupied",IF('🛏 HP Bed Board'!F16&lt;&gt;"",'🛏 HP Bed Board'!F16,'🛏 HP Bed Board'!E16),"")</f>
        <v>DTX/RTC</v>
      </c>
      <c r="D13" s="85" t="str">
        <f ca="1">IF('🛏 HP Bed Board'!B16="Occupied",IF('🛏 HP Bed Board'!H16="","—",IF('🛏 HP Bed Board'!H16&lt;TODAY(),"PAST",IF('🛏 HP Bed Board'!H16=TODAY(),"TODAY","DC "&amp;TEXT('🛏 HP Bed Board'!H16,"M/D")&amp;" ("&amp;INT('🛏 HP Bed Board'!H16-TODAY())&amp;"d)"))),"—")</f>
        <v>DC 7/5 (18d)</v>
      </c>
    </row>
    <row r="14" spans="1:4" ht="19.5" customHeight="1">
      <c r="A14" s="85" t="str">
        <f>'🛏 HP Bed Board'!A17</f>
        <v>M3-B</v>
      </c>
      <c r="B14" s="86" t="str">
        <f>IF('🛏 HP Bed Board'!B17="Occupied",'🛏 HP Bed Board'!C17,IF('🛏 HP Bed Board'!B17="Reserved","Reserved: "&amp;'🛏 HP Bed Board'!C17,IF('🛏 HP Bed Board'!B17="Open","— open —","")))</f>
        <v>Monica Gamboa</v>
      </c>
      <c r="C14" s="85" t="str">
        <f>IF('🛏 HP Bed Board'!B17="Occupied",IF('🛏 HP Bed Board'!F17&lt;&gt;"",'🛏 HP Bed Board'!F17,'🛏 HP Bed Board'!E17),"")</f>
        <v>DTX/RTC</v>
      </c>
      <c r="D14" s="85" t="str">
        <f ca="1">IF('🛏 HP Bed Board'!B17="Occupied",IF('🛏 HP Bed Board'!H17="","—",IF('🛏 HP Bed Board'!H17&lt;TODAY(),"PAST",IF('🛏 HP Bed Board'!H17=TODAY(),"TODAY","DC "&amp;TEXT('🛏 HP Bed Board'!H17,"M/D")&amp;" ("&amp;INT('🛏 HP Bed Board'!H17-TODAY())&amp;"d)"))),"—")</f>
        <v>DC 6/21 (4d)</v>
      </c>
    </row>
    <row r="15" spans="1:4" ht="19.5" customHeight="1">
      <c r="A15" s="85" t="str">
        <f>'🛏 HP Bed Board'!A18</f>
        <v>B1-A</v>
      </c>
      <c r="B15" s="86" t="str">
        <f>IF('🛏 HP Bed Board'!B18="Occupied",'🛏 HP Bed Board'!C18,IF('🛏 HP Bed Board'!B18="Reserved","Reserved: "&amp;'🛏 HP Bed Board'!C18,IF('🛏 HP Bed Board'!B18="Open","— open —","")))</f>
        <v>Bradey Bauer</v>
      </c>
      <c r="C15" s="85" t="str">
        <f>IF('🛏 HP Bed Board'!B18="Occupied",IF('🛏 HP Bed Board'!F18&lt;&gt;"",'🛏 HP Bed Board'!F18,'🛏 HP Bed Board'!E18),"")</f>
        <v>DTX/RTC</v>
      </c>
      <c r="D15" s="85" t="str">
        <f ca="1">IF('🛏 HP Bed Board'!B18="Occupied",IF('🛏 HP Bed Board'!H18="","—",IF('🛏 HP Bed Board'!H18&lt;TODAY(),"PAST",IF('🛏 HP Bed Board'!H18=TODAY(),"TODAY","DC "&amp;TEXT('🛏 HP Bed Board'!H18,"M/D")&amp;" ("&amp;INT('🛏 HP Bed Board'!H18-TODAY())&amp;"d)"))),"—")</f>
        <v>DC 7/13 (26d)</v>
      </c>
    </row>
    <row r="16" spans="1:4" ht="19.5" customHeight="1">
      <c r="A16" s="85" t="str">
        <f>'🛏 HP Bed Board'!A19</f>
        <v>B1-B</v>
      </c>
      <c r="B16" s="86" t="str">
        <f>IF('🛏 HP Bed Board'!B19="Occupied",'🛏 HP Bed Board'!C19,IF('🛏 HP Bed Board'!B19="Reserved","Reserved: "&amp;'🛏 HP Bed Board'!C19,IF('🛏 HP Bed Board'!B19="Open","— open —","")))</f>
        <v>Garrett Johnson</v>
      </c>
      <c r="C16" s="85" t="str">
        <f>IF('🛏 HP Bed Board'!B19="Occupied",IF('🛏 HP Bed Board'!F19&lt;&gt;"",'🛏 HP Bed Board'!F19,'🛏 HP Bed Board'!E19),"")</f>
        <v>RTC</v>
      </c>
      <c r="D16" s="85" t="str">
        <f ca="1">IF('🛏 HP Bed Board'!B19="Occupied",IF('🛏 HP Bed Board'!H19="","—",IF('🛏 HP Bed Board'!H19&lt;TODAY(),"PAST",IF('🛏 HP Bed Board'!H19=TODAY(),"TODAY","DC "&amp;TEXT('🛏 HP Bed Board'!H19,"M/D")&amp;" ("&amp;INT('🛏 HP Bed Board'!H19-TODAY())&amp;"d)"))),"—")</f>
        <v>DC 7/13 (26d)</v>
      </c>
    </row>
    <row r="17" spans="1:4" ht="19.5" customHeight="1">
      <c r="A17" s="85" t="str">
        <f>'🛏 HP Bed Board'!A20</f>
        <v>B2-A</v>
      </c>
      <c r="B17" s="86" t="str">
        <f>IF('🛏 HP Bed Board'!B20="Occupied",'🛏 HP Bed Board'!C20,IF('🛏 HP Bed Board'!B20="Reserved","Reserved: "&amp;'🛏 HP Bed Board'!C20,IF('🛏 HP Bed Board'!B20="Open","— open —","")))</f>
        <v>Kyle Samia</v>
      </c>
      <c r="C17" s="85" t="str">
        <f>IF('🛏 HP Bed Board'!B20="Occupied",IF('🛏 HP Bed Board'!F20&lt;&gt;"",'🛏 HP Bed Board'!F20,'🛏 HP Bed Board'!E20),"")</f>
        <v>DTX/RTC</v>
      </c>
      <c r="D17" s="85" t="str">
        <f ca="1">IF('🛏 HP Bed Board'!B20="Occupied",IF('🛏 HP Bed Board'!H20="","—",IF('🛏 HP Bed Board'!H20&lt;TODAY(),"PAST",IF('🛏 HP Bed Board'!H20=TODAY(),"TODAY","DC "&amp;TEXT('🛏 HP Bed Board'!H20,"M/D")&amp;" ("&amp;INT('🛏 HP Bed Board'!H20-TODAY())&amp;"d)"))),"—")</f>
        <v>DC 7/11 (24d)</v>
      </c>
    </row>
    <row r="18" spans="1:4" ht="19.5" customHeight="1">
      <c r="A18" s="85" t="str">
        <f>'🛏 HP Bed Board'!A21</f>
        <v>B2-B</v>
      </c>
      <c r="B18" s="86" t="str">
        <f>IF('🛏 HP Bed Board'!B21="Occupied",'🛏 HP Bed Board'!C21,IF('🛏 HP Bed Board'!B21="Reserved","Reserved: "&amp;'🛏 HP Bed Board'!C21,IF('🛏 HP Bed Board'!B21="Open","— open —","")))</f>
        <v>Jamal Williams</v>
      </c>
      <c r="C18" s="85" t="str">
        <f>IF('🛏 HP Bed Board'!B21="Occupied",IF('🛏 HP Bed Board'!F21&lt;&gt;"",'🛏 HP Bed Board'!F21,'🛏 HP Bed Board'!E21),"")</f>
        <v>DTX/RTC</v>
      </c>
      <c r="D18" s="85" t="str">
        <f ca="1">IF('🛏 HP Bed Board'!B21="Occupied",IF('🛏 HP Bed Board'!H21="","—",IF('🛏 HP Bed Board'!H21&lt;TODAY(),"PAST",IF('🛏 HP Bed Board'!H21=TODAY(),"TODAY","DC "&amp;TEXT('🛏 HP Bed Board'!H21,"M/D")&amp;" ("&amp;INT('🛏 HP Bed Board'!H21-TODAY())&amp;"d)"))),"—")</f>
        <v>DC 7/10 (23d)</v>
      </c>
    </row>
    <row r="19" spans="1:4" ht="19.5" customHeight="1">
      <c r="A19" s="85" t="str">
        <f>'🛏 HP Bed Board'!A22</f>
        <v>B3-A</v>
      </c>
      <c r="B19" s="86" t="str">
        <f>IF('🛏 HP Bed Board'!B22="Occupied",'🛏 HP Bed Board'!C22,IF('🛏 HP Bed Board'!B22="Reserved","Reserved: "&amp;'🛏 HP Bed Board'!C22,IF('🛏 HP Bed Board'!B22="Open","— open —","")))</f>
        <v>Christopher Avolio</v>
      </c>
      <c r="C19" s="85" t="str">
        <f>IF('🛏 HP Bed Board'!B22="Occupied",IF('🛏 HP Bed Board'!F22&lt;&gt;"",'🛏 HP Bed Board'!F22,'🛏 HP Bed Board'!E22),"")</f>
        <v>DTX/RTC</v>
      </c>
      <c r="D19" s="85" t="str">
        <f ca="1">IF('🛏 HP Bed Board'!B22="Occupied",IF('🛏 HP Bed Board'!H22="","—",IF('🛏 HP Bed Board'!H22&lt;TODAY(),"PAST",IF('🛏 HP Bed Board'!H22=TODAY(),"TODAY","DC "&amp;TEXT('🛏 HP Bed Board'!H22,"M/D")&amp;" ("&amp;INT('🛏 HP Bed Board'!H22-TODAY())&amp;"d)"))),"—")</f>
        <v>DC 7/2 (15d)</v>
      </c>
    </row>
    <row r="20" spans="1:4" ht="19.5" customHeight="1">
      <c r="A20" s="85" t="str">
        <f>'🛏 HP Bed Board'!A23</f>
        <v>B3-B</v>
      </c>
      <c r="B20" s="86" t="str">
        <f>IF('🛏 HP Bed Board'!B23="Occupied",'🛏 HP Bed Board'!C23,IF('🛏 HP Bed Board'!B23="Reserved","Reserved: "&amp;'🛏 HP Bed Board'!C23,IF('🛏 HP Bed Board'!B23="Open","— open —","")))</f>
        <v>Jason Schnell</v>
      </c>
      <c r="C20" s="85" t="str">
        <f>IF('🛏 HP Bed Board'!B23="Occupied",IF('🛏 HP Bed Board'!F23&lt;&gt;"",'🛏 HP Bed Board'!F23,'🛏 HP Bed Board'!E23),"")</f>
        <v>DTX/RTC</v>
      </c>
      <c r="D20" s="85" t="str">
        <f ca="1">IF('🛏 HP Bed Board'!B23="Occupied",IF('🛏 HP Bed Board'!H23="","—",IF('🛏 HP Bed Board'!H23&lt;TODAY(),"PAST",IF('🛏 HP Bed Board'!H23=TODAY(),"TODAY","DC "&amp;TEXT('🛏 HP Bed Board'!H23,"M/D")&amp;" ("&amp;INT('🛏 HP Bed Board'!H23-TODAY())&amp;"d)"))),"—")</f>
        <v>DC 6/30 (13d)</v>
      </c>
    </row>
    <row r="21" spans="1:4" ht="4.5" customHeight="1">
      <c r="A21" s="334"/>
      <c r="B21" s="334"/>
      <c r="C21" s="334"/>
      <c r="D21" s="334"/>
    </row>
    <row r="22" spans="1:4" ht="15.75" customHeight="1">
      <c r="A22" s="322" t="s">
        <v>712</v>
      </c>
      <c r="B22" s="322"/>
      <c r="C22" s="322"/>
      <c r="D22" s="322"/>
    </row>
    <row r="23" spans="1:4" ht="12.75" customHeight="1">
      <c r="A23" s="259" t="s">
        <v>178</v>
      </c>
      <c r="B23" s="259" t="s">
        <v>188</v>
      </c>
      <c r="C23" s="259" t="s">
        <v>18</v>
      </c>
      <c r="D23" s="259" t="s">
        <v>711</v>
      </c>
    </row>
    <row r="24" spans="1:4" ht="19.5" customHeight="1">
      <c r="A24" s="85" t="str">
        <f>'🛏 HPE Bed Board'!A11</f>
        <v>H1-1A</v>
      </c>
      <c r="B24" s="86" t="str">
        <f>IF('🛏 HPE Bed Board'!B11="Occupied",'🛏 HPE Bed Board'!C11,IF('🛏 HPE Bed Board'!B11="Reserved","Reserved: "&amp;'🛏 HPE Bed Board'!C11,IF('🛏 HPE Bed Board'!B11="Open","— open —","")))</f>
        <v>Allisa Leuvrey</v>
      </c>
      <c r="C24" s="85" t="str">
        <f>IF('🛏 HPE Bed Board'!B11="Occupied",IF('🛏 HPE Bed Board'!F11&lt;&gt;"",'🛏 HPE Bed Board'!F11,'🛏 HPE Bed Board'!E11),"")</f>
        <v>DTX</v>
      </c>
      <c r="D24" s="85" t="str">
        <f ca="1">IF('🛏 HPE Bed Board'!B11="Occupied",IF('🛏 HPE Bed Board'!H11="","—",IF('🛏 HPE Bed Board'!H11&lt;TODAY(),"PAST",IF('🛏 HPE Bed Board'!H11=TODAY(),"TODAY","DC "&amp;TEXT('🛏 HPE Bed Board'!H11,"M/D")&amp;" ("&amp;INT('🛏 HPE Bed Board'!H11-TODAY())&amp;"d)"))),"—")</f>
        <v>DC 6/19 (2d)</v>
      </c>
    </row>
    <row r="25" spans="1:4" ht="19.5" customHeight="1">
      <c r="A25" s="85" t="str">
        <f>'🛏 HPE Bed Board'!A12</f>
        <v>H1-1B</v>
      </c>
      <c r="B25" s="86" t="str">
        <f>IF('🛏 HPE Bed Board'!B12="Occupied",'🛏 HPE Bed Board'!C12,IF('🛏 HPE Bed Board'!B12="Reserved","Reserved: "&amp;'🛏 HPE Bed Board'!C12,IF('🛏 HPE Bed Board'!B12="Open","— open —","")))</f>
        <v>Cree Lamere</v>
      </c>
      <c r="C25" s="85" t="str">
        <f>IF('🛏 HPE Bed Board'!B12="Occupied",IF('🛏 HPE Bed Board'!F12&lt;&gt;"",'🛏 HPE Bed Board'!F12,'🛏 HPE Bed Board'!E12),"")</f>
        <v>DTX/RTC</v>
      </c>
      <c r="D25" s="85" t="str">
        <f ca="1">IF('🛏 HPE Bed Board'!B12="Occupied",IF('🛏 HPE Bed Board'!H12="","—",IF('🛏 HPE Bed Board'!H12&lt;TODAY(),"PAST",IF('🛏 HPE Bed Board'!H12=TODAY(),"TODAY","DC "&amp;TEXT('🛏 HPE Bed Board'!H12,"M/D")&amp;" ("&amp;INT('🛏 HPE Bed Board'!H12-TODAY())&amp;"d)"))),"—")</f>
        <v>DC 6/29 (12d)</v>
      </c>
    </row>
    <row r="26" spans="1:4" ht="19.5" customHeight="1">
      <c r="A26" s="85" t="str">
        <f>'🛏 HPE Bed Board'!A13</f>
        <v>H1-2A</v>
      </c>
      <c r="B26" s="86" t="str">
        <f>IF('🛏 HPE Bed Board'!B13="Occupied",'🛏 HPE Bed Board'!C13,IF('🛏 HPE Bed Board'!B13="Reserved","Reserved: "&amp;'🛏 HPE Bed Board'!C13,IF('🛏 HPE Bed Board'!B13="Open","— open —","")))</f>
        <v>Rhonda Baim</v>
      </c>
      <c r="C26" s="85" t="str">
        <f>IF('🛏 HPE Bed Board'!B13="Occupied",IF('🛏 HPE Bed Board'!F13&lt;&gt;"",'🛏 HPE Bed Board'!F13,'🛏 HPE Bed Board'!E13),"")</f>
        <v>DTX</v>
      </c>
      <c r="D26" s="85" t="str">
        <f ca="1">IF('🛏 HPE Bed Board'!B13="Occupied",IF('🛏 HPE Bed Board'!H13="","—",IF('🛏 HPE Bed Board'!H13&lt;TODAY(),"PAST",IF('🛏 HPE Bed Board'!H13=TODAY(),"TODAY","DC "&amp;TEXT('🛏 HPE Bed Board'!H13,"M/D")&amp;" ("&amp;INT('🛏 HPE Bed Board'!H13-TODAY())&amp;"d)"))),"—")</f>
        <v>DC 6/23 (6d)</v>
      </c>
    </row>
    <row r="27" spans="1:4" ht="19.5" customHeight="1">
      <c r="A27" s="85" t="str">
        <f>'🛏 HPE Bed Board'!A14</f>
        <v>H1-3A</v>
      </c>
      <c r="B27" s="86" t="str">
        <f>IF('🛏 HPE Bed Board'!B14="Occupied",'🛏 HPE Bed Board'!C14,IF('🛏 HPE Bed Board'!B14="Reserved","Reserved: "&amp;'🛏 HPE Bed Board'!C14,IF('🛏 HPE Bed Board'!B14="Open","— open —","")))</f>
        <v>Aaron Dufresne</v>
      </c>
      <c r="C27" s="85" t="str">
        <f>IF('🛏 HPE Bed Board'!B14="Occupied",IF('🛏 HPE Bed Board'!F14&lt;&gt;"",'🛏 HPE Bed Board'!F14,'🛏 HPE Bed Board'!E14),"")</f>
        <v>DTX</v>
      </c>
      <c r="D27" s="85" t="str">
        <f ca="1">IF('🛏 HPE Bed Board'!B14="Occupied",IF('🛏 HPE Bed Board'!H14="","—",IF('🛏 HPE Bed Board'!H14&lt;TODAY(),"PAST",IF('🛏 HPE Bed Board'!H14=TODAY(),"TODAY","DC "&amp;TEXT('🛏 HPE Bed Board'!H14,"M/D")&amp;" ("&amp;INT('🛏 HPE Bed Board'!H14-TODAY())&amp;"d)"))),"—")</f>
        <v>DC 6/28 (11d)</v>
      </c>
    </row>
    <row r="28" spans="1:4" ht="19.5" customHeight="1">
      <c r="A28" s="85" t="str">
        <f>'🛏 HPE Bed Board'!A15</f>
        <v>H1-3B</v>
      </c>
      <c r="B28" s="86" t="str">
        <f>IF('🛏 HPE Bed Board'!B15="Occupied",'🛏 HPE Bed Board'!C15,IF('🛏 HPE Bed Board'!B15="Reserved","Reserved: "&amp;'🛏 HPE Bed Board'!C15,IF('🛏 HPE Bed Board'!B15="Open","— open —","")))</f>
        <v>— open —</v>
      </c>
      <c r="C28" s="85" t="str">
        <f>IF('🛏 HPE Bed Board'!B15="Occupied",IF('🛏 HPE Bed Board'!F15&lt;&gt;"",'🛏 HPE Bed Board'!F15,'🛏 HPE Bed Board'!E15),"")</f>
        <v/>
      </c>
      <c r="D28" s="85" t="str">
        <f ca="1">IF('🛏 HPE Bed Board'!B15="Occupied",IF('🛏 HPE Bed Board'!H15="","—",IF('🛏 HPE Bed Board'!H15&lt;TODAY(),"PAST",IF('🛏 HPE Bed Board'!H15=TODAY(),"TODAY","DC "&amp;TEXT('🛏 HPE Bed Board'!H15,"M/D")&amp;" ("&amp;INT('🛏 HPE Bed Board'!H15-TODAY())&amp;"d)"))),"—")</f>
        <v>—</v>
      </c>
    </row>
    <row r="29" spans="1:4" ht="19.5" customHeight="1">
      <c r="A29" s="85" t="str">
        <f>'🛏 HPE Bed Board'!A16</f>
        <v>H1-4</v>
      </c>
      <c r="B29" s="86" t="str">
        <f>IF('🛏 HPE Bed Board'!B16="Occupied",'🛏 HPE Bed Board'!C16,IF('🛏 HPE Bed Board'!B16="Reserved","Reserved: "&amp;'🛏 HPE Bed Board'!C16,IF('🛏 HPE Bed Board'!B16="Open","— open —","")))</f>
        <v>Jared Hamilton</v>
      </c>
      <c r="C29" s="85" t="str">
        <f>IF('🛏 HPE Bed Board'!B16="Occupied",IF('🛏 HPE Bed Board'!F16&lt;&gt;"",'🛏 HPE Bed Board'!F16,'🛏 HPE Bed Board'!E16),"")</f>
        <v>DTX/RTC</v>
      </c>
      <c r="D29" s="85" t="str">
        <f ca="1">IF('🛏 HPE Bed Board'!B16="Occupied",IF('🛏 HPE Bed Board'!H16="","—",IF('🛏 HPE Bed Board'!H16&lt;TODAY(),"PAST",IF('🛏 HPE Bed Board'!H16=TODAY(),"TODAY","DC "&amp;TEXT('🛏 HPE Bed Board'!H16,"M/D")&amp;" ("&amp;INT('🛏 HPE Bed Board'!H16-TODAY())&amp;"d)"))),"—")</f>
        <v>DC 7/2 (15d)</v>
      </c>
    </row>
    <row r="30" spans="1:4" ht="19.5" customHeight="1">
      <c r="A30" s="85" t="str">
        <f>'🛏 HPE Bed Board'!A18</f>
        <v>H2-2A</v>
      </c>
      <c r="B30" s="86" t="str">
        <f>IF('🛏 HPE Bed Board'!B18="Occupied",'🛏 HPE Bed Board'!C18,IF('🛏 HPE Bed Board'!B18="Reserved","Reserved: "&amp;'🛏 HPE Bed Board'!C18,IF('🛏 HPE Bed Board'!B18="Open","— open —","")))</f>
        <v>Reserved: Tara Shinde</v>
      </c>
      <c r="C30" s="85" t="str">
        <f>IF('🛏 HPE Bed Board'!B18="Occupied",IF('🛏 HPE Bed Board'!F18&lt;&gt;"",'🛏 HPE Bed Board'!F18,'🛏 HPE Bed Board'!E18),"")</f>
        <v/>
      </c>
      <c r="D30" s="85" t="str">
        <f ca="1">IF('🛏 HPE Bed Board'!B18="Occupied",IF('🛏 HPE Bed Board'!H18="","—",IF('🛏 HPE Bed Board'!H18&lt;TODAY(),"PAST",IF('🛏 HPE Bed Board'!H18=TODAY(),"TODAY","DC "&amp;TEXT('🛏 HPE Bed Board'!H18,"M/D")&amp;" ("&amp;INT('🛏 HPE Bed Board'!H18-TODAY())&amp;"d)"))),"—")</f>
        <v>—</v>
      </c>
    </row>
    <row r="31" spans="1:4" ht="19.5" customHeight="1">
      <c r="A31" s="85" t="str">
        <f>'🛏 HPE Bed Board'!A19</f>
        <v>H2-2B</v>
      </c>
      <c r="B31" s="86" t="str">
        <f>IF('🛏 HPE Bed Board'!B19="Occupied",'🛏 HPE Bed Board'!C19,IF('🛏 HPE Bed Board'!B19="Reserved","Reserved: "&amp;'🛏 HPE Bed Board'!C19,IF('🛏 HPE Bed Board'!B19="Open","— open —","")))</f>
        <v>— open —</v>
      </c>
      <c r="C31" s="85" t="str">
        <f>IF('🛏 HPE Bed Board'!B19="Occupied",IF('🛏 HPE Bed Board'!F19&lt;&gt;"",'🛏 HPE Bed Board'!F19,'🛏 HPE Bed Board'!E19),"")</f>
        <v/>
      </c>
      <c r="D31" s="85" t="str">
        <f ca="1">IF('🛏 HPE Bed Board'!B19="Occupied",IF('🛏 HPE Bed Board'!H19="","—",IF('🛏 HPE Bed Board'!H19&lt;TODAY(),"PAST",IF('🛏 HPE Bed Board'!H19=TODAY(),"TODAY","DC "&amp;TEXT('🛏 HPE Bed Board'!H19,"M/D")&amp;" ("&amp;INT('🛏 HPE Bed Board'!H19-TODAY())&amp;"d)"))),"—")</f>
        <v>—</v>
      </c>
    </row>
    <row r="32" spans="1:4" ht="19.5" customHeight="1">
      <c r="A32" s="85" t="str">
        <f>'🛏 HPE Bed Board'!A20</f>
        <v>H2-3A</v>
      </c>
      <c r="B32" s="86" t="str">
        <f>IF('🛏 HPE Bed Board'!B20="Occupied",'🛏 HPE Bed Board'!C20,IF('🛏 HPE Bed Board'!B20="Reserved","Reserved: "&amp;'🛏 HPE Bed Board'!C20,IF('🛏 HPE Bed Board'!B20="Open","— open —","")))</f>
        <v>Daniel Armiger</v>
      </c>
      <c r="C32" s="85" t="str">
        <f>IF('🛏 HPE Bed Board'!B20="Occupied",IF('🛏 HPE Bed Board'!F20&lt;&gt;"",'🛏 HPE Bed Board'!F20,'🛏 HPE Bed Board'!E20),"")</f>
        <v>RTC</v>
      </c>
      <c r="D32" s="85" t="str">
        <f ca="1">IF('🛏 HPE Bed Board'!B20="Occupied",IF('🛏 HPE Bed Board'!H20="","—",IF('🛏 HPE Bed Board'!H20&lt;TODAY(),"PAST",IF('🛏 HPE Bed Board'!H20=TODAY(),"TODAY","DC "&amp;TEXT('🛏 HPE Bed Board'!H20,"M/D")&amp;" ("&amp;INT('🛏 HPE Bed Board'!H20-TODAY())&amp;"d)"))),"—")</f>
        <v>DC 7/9 (22d)</v>
      </c>
    </row>
    <row r="33" spans="1:4" ht="19.5" customHeight="1">
      <c r="A33" s="85" t="str">
        <f>'🛏 HPE Bed Board'!A21</f>
        <v>H2-3B</v>
      </c>
      <c r="B33" s="86" t="str">
        <f>IF('🛏 HPE Bed Board'!B21="Occupied",'🛏 HPE Bed Board'!C21,IF('🛏 HPE Bed Board'!B21="Reserved","Reserved: "&amp;'🛏 HPE Bed Board'!C21,IF('🛏 HPE Bed Board'!B21="Open","— open —","")))</f>
        <v>Blayne Olivier</v>
      </c>
      <c r="C33" s="85">
        <f>IF('🛏 HPE Bed Board'!B21="Occupied",IF('🛏 HPE Bed Board'!F21&lt;&gt;"",'🛏 HPE Bed Board'!F21,'🛏 HPE Bed Board'!E21),"")</f>
        <v>0</v>
      </c>
      <c r="D33" s="85" t="str">
        <f ca="1">IF('🛏 HPE Bed Board'!B21="Occupied",IF('🛏 HPE Bed Board'!H21="","—",IF('🛏 HPE Bed Board'!H21&lt;TODAY(),"PAST",IF('🛏 HPE Bed Board'!H21=TODAY(),"TODAY","DC "&amp;TEXT('🛏 HPE Bed Board'!H21,"M/D")&amp;" ("&amp;INT('🛏 HPE Bed Board'!H21-TODAY())&amp;"d)"))),"—")</f>
        <v>DC 7/13 (26d)</v>
      </c>
    </row>
    <row r="34" spans="1:4" ht="19.5" customHeight="1">
      <c r="A34" s="85" t="str">
        <f>'🛏 HPE Bed Board'!A22</f>
        <v>H2-3C</v>
      </c>
      <c r="B34" s="86" t="str">
        <f>IF('🛏 HPE Bed Board'!B22="Occupied",'🛏 HPE Bed Board'!C22,IF('🛏 HPE Bed Board'!B22="Reserved","Reserved: "&amp;'🛏 HPE Bed Board'!C22,IF('🛏 HPE Bed Board'!B22="Open","— open —","")))</f>
        <v>Bradey Bauer</v>
      </c>
      <c r="C34" s="85">
        <f>IF('🛏 HPE Bed Board'!B22="Occupied",IF('🛏 HPE Bed Board'!F22&lt;&gt;"",'🛏 HPE Bed Board'!F22,'🛏 HPE Bed Board'!E22),"")</f>
        <v>0</v>
      </c>
      <c r="D34" s="85" t="str">
        <f ca="1">IF('🛏 HPE Bed Board'!B22="Occupied",IF('🛏 HPE Bed Board'!H22="","—",IF('🛏 HPE Bed Board'!H22&lt;TODAY(),"PAST",IF('🛏 HPE Bed Board'!H22=TODAY(),"TODAY","DC "&amp;TEXT('🛏 HPE Bed Board'!H22,"M/D")&amp;" ("&amp;INT('🛏 HPE Bed Board'!H22-TODAY())&amp;"d)"))),"—")</f>
        <v>DC 7/13 (26d)</v>
      </c>
    </row>
    <row r="35" spans="1:4" ht="19.5" customHeight="1">
      <c r="A35" s="85" t="str">
        <f>'🛏 HPE Bed Board'!A23</f>
        <v>H2-4</v>
      </c>
      <c r="B35" s="86" t="str">
        <f>IF('🛏 HPE Bed Board'!B23="Occupied",'🛏 HPE Bed Board'!C23,IF('🛏 HPE Bed Board'!B23="Reserved","Reserved: "&amp;'🛏 HPE Bed Board'!C23,IF('🛏 HPE Bed Board'!B23="Open","— open —","")))</f>
        <v>Jeongwoon Lee</v>
      </c>
      <c r="C35" s="85" t="str">
        <f>IF('🛏 HPE Bed Board'!B23="Occupied",IF('🛏 HPE Bed Board'!F23&lt;&gt;"",'🛏 HPE Bed Board'!F23,'🛏 HPE Bed Board'!E23),"")</f>
        <v>RTC</v>
      </c>
      <c r="D35" s="85" t="str">
        <f ca="1">IF('🛏 HPE Bed Board'!B23="Occupied",IF('🛏 HPE Bed Board'!H23="","—",IF('🛏 HPE Bed Board'!H23&lt;TODAY(),"PAST",IF('🛏 HPE Bed Board'!H23=TODAY(),"TODAY","DC "&amp;TEXT('🛏 HPE Bed Board'!H23,"M/D")&amp;" ("&amp;INT('🛏 HPE Bed Board'!H23-TODAY())&amp;"d)"))),"—")</f>
        <v>DC 6/26 (9d)</v>
      </c>
    </row>
    <row r="36" spans="1:4" ht="4.5" customHeight="1">
      <c r="A36" s="325"/>
      <c r="B36" s="325"/>
      <c r="C36" s="325"/>
      <c r="D36" s="325"/>
    </row>
    <row r="37" spans="1:4" ht="15.75" customHeight="1">
      <c r="A37" s="322" t="s">
        <v>713</v>
      </c>
      <c r="B37" s="322"/>
      <c r="C37" s="322"/>
      <c r="D37" s="322"/>
    </row>
    <row r="38" spans="1:4" ht="12.75" customHeight="1">
      <c r="A38" s="260" t="s">
        <v>178</v>
      </c>
      <c r="B38" s="260" t="s">
        <v>188</v>
      </c>
      <c r="C38" s="260" t="s">
        <v>18</v>
      </c>
      <c r="D38" s="260" t="s">
        <v>711</v>
      </c>
    </row>
    <row r="39" spans="1:4" ht="18" customHeight="1">
      <c r="A39" s="86" t="str">
        <f>IF('🔥 Pipeline'!D5="Scheduled",'🔥 Pipeline'!C5,"")</f>
        <v/>
      </c>
      <c r="B39" s="86" t="str">
        <f>IF('🔥 Pipeline'!D5="Scheduled",'🔥 Pipeline'!I5,"")</f>
        <v/>
      </c>
      <c r="C39" s="85" t="str">
        <f>IF('🔥 Pipeline'!D5="Scheduled",'🔥 Pipeline'!E5,"")</f>
        <v/>
      </c>
      <c r="D39" s="85" t="str">
        <f>IF('🔥 Pipeline'!D5="Scheduled",'🔥 Pipeline'!H5,"")</f>
        <v/>
      </c>
    </row>
    <row r="40" spans="1:4" ht="18" customHeight="1">
      <c r="A40" s="86" t="str">
        <f>IF('🔥 Pipeline'!D6="Scheduled",'🔥 Pipeline'!C6,"")</f>
        <v/>
      </c>
      <c r="B40" s="86" t="str">
        <f>IF('🔥 Pipeline'!D6="Scheduled",'🔥 Pipeline'!I6,"")</f>
        <v/>
      </c>
      <c r="C40" s="85" t="str">
        <f>IF('🔥 Pipeline'!D6="Scheduled",'🔥 Pipeline'!E6,"")</f>
        <v/>
      </c>
      <c r="D40" s="85" t="str">
        <f>IF('🔥 Pipeline'!D6="Scheduled",'🔥 Pipeline'!H6,"")</f>
        <v/>
      </c>
    </row>
    <row r="41" spans="1:4" ht="18" customHeight="1">
      <c r="A41" s="86" t="str">
        <f>IF('🔥 Pipeline'!D7="Scheduled",'🔥 Pipeline'!C7,"")</f>
        <v>Tara Shinde</v>
      </c>
      <c r="B41" s="86" t="str">
        <f>IF('🔥 Pipeline'!D7="Scheduled",'🔥 Pipeline'!I7,"")</f>
        <v>BCBS IL</v>
      </c>
      <c r="C41" s="85" t="str">
        <f>IF('🔥 Pipeline'!D7="Scheduled",'🔥 Pipeline'!E7,"")</f>
        <v>DTX/RTC</v>
      </c>
      <c r="D41" s="87">
        <f>IF('🔥 Pipeline'!D7="Scheduled",'🔥 Pipeline'!H7,"")</f>
        <v>46192</v>
      </c>
    </row>
    <row r="42" spans="1:4" ht="18" customHeight="1">
      <c r="A42" s="86" t="str">
        <f>IF('🔥 Pipeline'!D8="Scheduled",'🔥 Pipeline'!C8,"")</f>
        <v/>
      </c>
      <c r="B42" s="86" t="str">
        <f>IF('🔥 Pipeline'!D8="Scheduled",'🔥 Pipeline'!I8,"")</f>
        <v/>
      </c>
      <c r="C42" s="85" t="str">
        <f>IF('🔥 Pipeline'!D8="Scheduled",'🔥 Pipeline'!E8,"")</f>
        <v/>
      </c>
      <c r="D42" s="85" t="str">
        <f>IF('🔥 Pipeline'!D8="Scheduled",'🔥 Pipeline'!H8,"")</f>
        <v/>
      </c>
    </row>
    <row r="43" spans="1:4" ht="18" customHeight="1">
      <c r="A43" s="86" t="str">
        <f>IF('🔥 Pipeline'!D9="Scheduled",'🔥 Pipeline'!C9,"")</f>
        <v/>
      </c>
      <c r="B43" s="86" t="str">
        <f>IF('🔥 Pipeline'!D9="Scheduled",'🔥 Pipeline'!I9,"")</f>
        <v/>
      </c>
      <c r="C43" s="85" t="str">
        <f>IF('🔥 Pipeline'!D9="Scheduled",'🔥 Pipeline'!E9,"")</f>
        <v/>
      </c>
      <c r="D43" s="85" t="str">
        <f>IF('🔥 Pipeline'!D9="Scheduled",'🔥 Pipeline'!H9,"")</f>
        <v/>
      </c>
    </row>
    <row r="44" spans="1:4" ht="18" customHeight="1">
      <c r="A44" s="86" t="str">
        <f>IF('🔥 Pipeline'!D10="Scheduled",'🔥 Pipeline'!C10,"")</f>
        <v/>
      </c>
      <c r="B44" s="86" t="str">
        <f>IF('🔥 Pipeline'!D10="Scheduled",'🔥 Pipeline'!I10,"")</f>
        <v/>
      </c>
      <c r="C44" s="85" t="str">
        <f>IF('🔥 Pipeline'!D10="Scheduled",'🔥 Pipeline'!E10,"")</f>
        <v/>
      </c>
      <c r="D44" s="85" t="str">
        <f>IF('🔥 Pipeline'!D10="Scheduled",'🔥 Pipeline'!H10,"")</f>
        <v/>
      </c>
    </row>
    <row r="45" spans="1:4" ht="18" customHeight="1">
      <c r="A45" s="86" t="str">
        <f>IF('🔥 Pipeline'!D11="Scheduled",'🔥 Pipeline'!C11,"")</f>
        <v/>
      </c>
      <c r="B45" s="86" t="str">
        <f>IF('🔥 Pipeline'!D11="Scheduled",'🔥 Pipeline'!I11,"")</f>
        <v/>
      </c>
      <c r="C45" s="85" t="str">
        <f>IF('🔥 Pipeline'!D11="Scheduled",'🔥 Pipeline'!E11,"")</f>
        <v/>
      </c>
      <c r="D45" s="85" t="str">
        <f>IF('🔥 Pipeline'!D11="Scheduled",'🔥 Pipeline'!H11,"")</f>
        <v/>
      </c>
    </row>
    <row r="46" spans="1:4" ht="18" customHeight="1">
      <c r="A46" s="86" t="str">
        <f>IF('🔥 Pipeline'!D12="Scheduled",'🔥 Pipeline'!C12,"")</f>
        <v/>
      </c>
      <c r="B46" s="86" t="str">
        <f>IF('🔥 Pipeline'!D12="Scheduled",'🔥 Pipeline'!I12,"")</f>
        <v/>
      </c>
      <c r="C46" s="85" t="str">
        <f>IF('🔥 Pipeline'!D12="Scheduled",'🔥 Pipeline'!E12,"")</f>
        <v/>
      </c>
      <c r="D46" s="85" t="str">
        <f>IF('🔥 Pipeline'!D12="Scheduled",'🔥 Pipeline'!H12,"")</f>
        <v/>
      </c>
    </row>
    <row r="47" spans="1:4" ht="18" customHeight="1">
      <c r="A47" s="86" t="str">
        <f>IF('🔥 Pipeline'!D13="Scheduled",'🔥 Pipeline'!C13,"")</f>
        <v/>
      </c>
      <c r="B47" s="86" t="str">
        <f>IF('🔥 Pipeline'!D13="Scheduled",'🔥 Pipeline'!I13,"")</f>
        <v/>
      </c>
      <c r="C47" s="85" t="str">
        <f>IF('🔥 Pipeline'!D13="Scheduled",'🔥 Pipeline'!E13,"")</f>
        <v/>
      </c>
      <c r="D47" s="85" t="str">
        <f>IF('🔥 Pipeline'!D13="Scheduled",'🔥 Pipeline'!H13,"")</f>
        <v/>
      </c>
    </row>
    <row r="48" spans="1:4" ht="18" customHeight="1">
      <c r="A48" s="86" t="str">
        <f>IF('🔥 Pipeline'!D14="Scheduled",'🔥 Pipeline'!C14,"")</f>
        <v/>
      </c>
      <c r="B48" s="86" t="str">
        <f>IF('🔥 Pipeline'!D14="Scheduled",'🔥 Pipeline'!I14,"")</f>
        <v/>
      </c>
      <c r="C48" s="85" t="str">
        <f>IF('🔥 Pipeline'!D14="Scheduled",'🔥 Pipeline'!E14,"")</f>
        <v/>
      </c>
      <c r="D48" s="85" t="str">
        <f>IF('🔥 Pipeline'!D14="Scheduled",'🔥 Pipeline'!H14,"")</f>
        <v/>
      </c>
    </row>
    <row r="49" spans="1:4" ht="18" customHeight="1">
      <c r="A49" s="86" t="str">
        <f>IF('🔥 Pipeline'!D15="Scheduled",'🔥 Pipeline'!C15,"")</f>
        <v/>
      </c>
      <c r="B49" s="86" t="str">
        <f>IF('🔥 Pipeline'!D15="Scheduled",'🔥 Pipeline'!I15,"")</f>
        <v/>
      </c>
      <c r="C49" s="85" t="str">
        <f>IF('🔥 Pipeline'!D15="Scheduled",'🔥 Pipeline'!E15,"")</f>
        <v/>
      </c>
      <c r="D49" s="85" t="str">
        <f>IF('🔥 Pipeline'!D15="Scheduled",'🔥 Pipeline'!H15,"")</f>
        <v/>
      </c>
    </row>
    <row r="50" spans="1:4" ht="13.5" customHeight="1">
      <c r="A50" s="326" t="s">
        <v>714</v>
      </c>
      <c r="B50" s="326"/>
      <c r="C50" s="326"/>
      <c r="D50" s="326"/>
    </row>
    <row r="51" spans="1:4" ht="15" hidden="1" customHeight="1"/>
    <row r="52" spans="1:4" ht="15" hidden="1" customHeight="1"/>
    <row r="53" spans="1:4" ht="15" hidden="1" customHeight="1"/>
    <row r="54" spans="1:4" ht="15" hidden="1" customHeight="1"/>
    <row r="55" spans="1:4" ht="15" hidden="1" customHeight="1"/>
    <row r="56" spans="1:4" ht="15" hidden="1" customHeight="1"/>
    <row r="57" spans="1:4" ht="15" hidden="1" customHeight="1"/>
    <row r="58" spans="1:4" ht="15" hidden="1" customHeight="1"/>
    <row r="59" spans="1:4" ht="15" hidden="1" customHeight="1"/>
    <row r="60" spans="1:4" ht="15" hidden="1" customHeight="1"/>
    <row r="61" spans="1:4" ht="15" hidden="1" customHeight="1"/>
    <row r="62" spans="1:4" ht="15" hidden="1" customHeight="1"/>
    <row r="63" spans="1:4" ht="15" hidden="1" customHeight="1"/>
    <row r="64" spans="1: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sheetData>
  <mergeCells count="10">
    <mergeCell ref="A1:D1"/>
    <mergeCell ref="A2:D2"/>
    <mergeCell ref="A3:D3"/>
    <mergeCell ref="A4:D4"/>
    <mergeCell ref="A5:D5"/>
    <mergeCell ref="A21:D21"/>
    <mergeCell ref="A22:D22"/>
    <mergeCell ref="A36:D36"/>
    <mergeCell ref="A37:D37"/>
    <mergeCell ref="A50:D50"/>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08080"/>
  </sheetPr>
  <dimension ref="A1:AB228"/>
  <sheetViews>
    <sheetView showGridLines="0" zoomScale="140" zoomScaleNormal="140" workbookViewId="0"/>
  </sheetViews>
  <sheetFormatPr defaultColWidth="0" defaultRowHeight="15"/>
  <cols>
    <col min="1" max="10" width="20" customWidth="1"/>
    <col min="11" max="11" width="8.7109375" customWidth="1"/>
    <col min="12" max="12" width="28" customWidth="1"/>
    <col min="13" max="13" width="13"/>
    <col min="14" max="14" width="24" customWidth="1"/>
    <col min="15" max="15" width="16" customWidth="1"/>
    <col min="16" max="16" width="20" customWidth="1"/>
    <col min="17" max="17" width="46" customWidth="1"/>
    <col min="18" max="18" width="14" customWidth="1"/>
    <col min="19" max="19" width="9" customWidth="1"/>
    <col min="20" max="22" width="10" customWidth="1"/>
    <col min="23" max="23" width="16" customWidth="1"/>
    <col min="24" max="27" width="13"/>
    <col min="28" max="28" width="46" customWidth="1"/>
    <col min="29" max="16384" width="13" hidden="1"/>
  </cols>
  <sheetData>
    <row r="1" spans="1:28" ht="15" customHeight="1">
      <c r="A1" s="345" t="s">
        <v>715</v>
      </c>
      <c r="B1" s="345"/>
      <c r="C1" s="345"/>
      <c r="D1" s="345"/>
      <c r="E1" s="345"/>
      <c r="F1" s="345"/>
      <c r="G1" s="345"/>
      <c r="H1" s="345"/>
      <c r="I1" s="345"/>
      <c r="J1" s="345"/>
    </row>
    <row r="2" spans="1:28" ht="15" customHeight="1">
      <c r="A2" s="261" t="s">
        <v>716</v>
      </c>
      <c r="B2" s="261" t="s">
        <v>78</v>
      </c>
      <c r="C2" s="261" t="s">
        <v>18</v>
      </c>
      <c r="D2" s="261" t="s">
        <v>196</v>
      </c>
      <c r="E2" s="261" t="s">
        <v>717</v>
      </c>
      <c r="F2" s="261" t="s">
        <v>718</v>
      </c>
      <c r="G2" s="261" t="s">
        <v>719</v>
      </c>
      <c r="H2" s="261" t="s">
        <v>720</v>
      </c>
      <c r="I2" s="261" t="s">
        <v>721</v>
      </c>
      <c r="J2" s="261" t="s">
        <v>722</v>
      </c>
      <c r="L2" s="262" t="s">
        <v>723</v>
      </c>
      <c r="M2" s="263" t="s">
        <v>724</v>
      </c>
      <c r="N2" s="346" t="s">
        <v>725</v>
      </c>
      <c r="O2" s="346"/>
      <c r="P2" s="346"/>
      <c r="Q2" s="346"/>
      <c r="R2" s="346"/>
      <c r="S2" s="263" t="s">
        <v>726</v>
      </c>
      <c r="T2" s="264" t="s">
        <v>727</v>
      </c>
      <c r="U2" s="264" t="s">
        <v>728</v>
      </c>
      <c r="V2" s="264" t="s">
        <v>729</v>
      </c>
      <c r="W2" s="265" t="s">
        <v>730</v>
      </c>
      <c r="Y2" t="s">
        <v>731</v>
      </c>
      <c r="Z2" t="s">
        <v>732</v>
      </c>
      <c r="AB2" s="266" t="s">
        <v>733</v>
      </c>
    </row>
    <row r="3" spans="1:28" ht="15" customHeight="1">
      <c r="A3" s="267" t="s">
        <v>101</v>
      </c>
      <c r="B3" s="267" t="s">
        <v>49</v>
      </c>
      <c r="C3" s="267" t="s">
        <v>111</v>
      </c>
      <c r="D3" s="267" t="s">
        <v>209</v>
      </c>
      <c r="E3" s="267" t="s">
        <v>112</v>
      </c>
      <c r="F3" s="267" t="s">
        <v>226</v>
      </c>
      <c r="G3" s="267" t="s">
        <v>149</v>
      </c>
      <c r="H3" s="267" t="s">
        <v>734</v>
      </c>
      <c r="I3" s="267" t="s">
        <v>113</v>
      </c>
      <c r="J3" s="267" t="s">
        <v>735</v>
      </c>
      <c r="L3" t="s">
        <v>460</v>
      </c>
      <c r="M3" t="s">
        <v>101</v>
      </c>
      <c r="N3" s="268" t="s">
        <v>265</v>
      </c>
      <c r="O3" s="268" t="s">
        <v>72</v>
      </c>
      <c r="P3" s="268" t="s">
        <v>736</v>
      </c>
      <c r="Q3" s="268" t="s">
        <v>647</v>
      </c>
      <c r="R3" s="268" t="s">
        <v>737</v>
      </c>
      <c r="S3" t="s">
        <v>101</v>
      </c>
      <c r="T3" s="213" t="s">
        <v>94</v>
      </c>
      <c r="U3" s="213" t="s">
        <v>143</v>
      </c>
      <c r="V3" s="213">
        <v>7</v>
      </c>
      <c r="W3" t="s">
        <v>738</v>
      </c>
      <c r="Y3" t="s">
        <v>94</v>
      </c>
      <c r="Z3" t="s">
        <v>209</v>
      </c>
      <c r="AB3" s="269">
        <f ca="1">TODAY()</f>
        <v>46190</v>
      </c>
    </row>
    <row r="4" spans="1:28" ht="15" customHeight="1">
      <c r="A4" s="267" t="s">
        <v>129</v>
      </c>
      <c r="B4" s="267" t="s">
        <v>48</v>
      </c>
      <c r="C4" s="267" t="s">
        <v>126</v>
      </c>
      <c r="D4" s="267" t="s">
        <v>219</v>
      </c>
      <c r="E4" s="267" t="s">
        <v>123</v>
      </c>
      <c r="F4" s="267" t="s">
        <v>250</v>
      </c>
      <c r="G4" s="267" t="s">
        <v>222</v>
      </c>
      <c r="H4" s="267" t="s">
        <v>739</v>
      </c>
      <c r="I4" s="267" t="s">
        <v>102</v>
      </c>
      <c r="J4" s="267" t="s">
        <v>23</v>
      </c>
      <c r="L4" t="s">
        <v>470</v>
      </c>
      <c r="M4" t="s">
        <v>129</v>
      </c>
      <c r="N4" s="270" t="s">
        <v>740</v>
      </c>
      <c r="O4" s="270" t="s">
        <v>741</v>
      </c>
      <c r="P4" s="270"/>
      <c r="Q4" s="270" t="s">
        <v>742</v>
      </c>
      <c r="R4" s="270" t="s">
        <v>743</v>
      </c>
      <c r="S4" t="s">
        <v>129</v>
      </c>
      <c r="T4" s="213" t="s">
        <v>95</v>
      </c>
      <c r="U4" s="213" t="s">
        <v>145</v>
      </c>
      <c r="V4" s="213">
        <v>10</v>
      </c>
      <c r="W4" t="s">
        <v>744</v>
      </c>
      <c r="Y4" t="s">
        <v>95</v>
      </c>
      <c r="Z4" t="s">
        <v>209</v>
      </c>
    </row>
    <row r="5" spans="1:28" ht="15" customHeight="1">
      <c r="A5" s="267" t="s">
        <v>107</v>
      </c>
      <c r="B5" s="267" t="s">
        <v>47</v>
      </c>
      <c r="C5" s="267" t="s">
        <v>98</v>
      </c>
      <c r="D5" s="267" t="s">
        <v>262</v>
      </c>
      <c r="E5" s="267" t="s">
        <v>105</v>
      </c>
      <c r="F5" s="267" t="s">
        <v>214</v>
      </c>
      <c r="G5" s="267" t="s">
        <v>255</v>
      </c>
      <c r="H5" s="267" t="s">
        <v>745</v>
      </c>
      <c r="J5" s="267" t="s">
        <v>746</v>
      </c>
      <c r="L5" t="s">
        <v>747</v>
      </c>
      <c r="M5" t="s">
        <v>107</v>
      </c>
      <c r="N5" s="270" t="s">
        <v>748</v>
      </c>
      <c r="O5" s="270" t="s">
        <v>741</v>
      </c>
      <c r="P5" s="270"/>
      <c r="Q5" s="270" t="s">
        <v>749</v>
      </c>
      <c r="R5" s="270" t="s">
        <v>750</v>
      </c>
      <c r="S5" t="s">
        <v>107</v>
      </c>
      <c r="T5" s="213" t="s">
        <v>97</v>
      </c>
      <c r="U5" s="213" t="s">
        <v>148</v>
      </c>
      <c r="V5" s="213">
        <v>14</v>
      </c>
      <c r="W5" t="s">
        <v>751</v>
      </c>
      <c r="Y5" t="s">
        <v>97</v>
      </c>
      <c r="Z5" t="s">
        <v>209</v>
      </c>
      <c r="AB5" s="266" t="s">
        <v>752</v>
      </c>
    </row>
    <row r="6" spans="1:28" ht="15" customHeight="1">
      <c r="A6" s="267" t="s">
        <v>252</v>
      </c>
      <c r="B6" s="267" t="s">
        <v>50</v>
      </c>
      <c r="C6" s="267" t="s">
        <v>442</v>
      </c>
      <c r="D6" s="267" t="s">
        <v>211</v>
      </c>
      <c r="E6" s="267" t="s">
        <v>466</v>
      </c>
      <c r="F6" s="267" t="s">
        <v>234</v>
      </c>
      <c r="G6" s="267" t="s">
        <v>106</v>
      </c>
      <c r="J6" s="267" t="s">
        <v>753</v>
      </c>
      <c r="L6" t="s">
        <v>754</v>
      </c>
      <c r="M6" t="s">
        <v>135</v>
      </c>
      <c r="N6" s="270" t="s">
        <v>755</v>
      </c>
      <c r="O6" s="270" t="s">
        <v>741</v>
      </c>
      <c r="P6" s="270"/>
      <c r="Q6" s="270" t="s">
        <v>756</v>
      </c>
      <c r="R6" s="270" t="s">
        <v>750</v>
      </c>
      <c r="T6" s="213" t="s">
        <v>104</v>
      </c>
      <c r="U6" s="213" t="s">
        <v>151</v>
      </c>
      <c r="V6" s="213">
        <v>21</v>
      </c>
      <c r="W6" t="s">
        <v>757</v>
      </c>
      <c r="Y6" t="s">
        <v>104</v>
      </c>
      <c r="Z6" t="s">
        <v>209</v>
      </c>
      <c r="AB6">
        <f ca="1">MATCH('🏆 Leaderboard'!$B$2,$W$3:$W$10,0)</f>
        <v>2</v>
      </c>
    </row>
    <row r="7" spans="1:28" ht="15" customHeight="1">
      <c r="A7" s="267" t="s">
        <v>135</v>
      </c>
      <c r="B7" s="267" t="s">
        <v>758</v>
      </c>
      <c r="C7" s="267" t="s">
        <v>443</v>
      </c>
      <c r="E7" s="267" t="s">
        <v>116</v>
      </c>
      <c r="F7" s="267" t="s">
        <v>759</v>
      </c>
      <c r="G7" s="267" t="s">
        <v>248</v>
      </c>
      <c r="J7" s="267" t="s">
        <v>760</v>
      </c>
      <c r="L7" t="s">
        <v>479</v>
      </c>
      <c r="N7" s="270" t="s">
        <v>761</v>
      </c>
      <c r="O7" s="270" t="s">
        <v>741</v>
      </c>
      <c r="P7" s="270"/>
      <c r="Q7" s="270" t="s">
        <v>762</v>
      </c>
      <c r="R7" s="270" t="s">
        <v>750</v>
      </c>
      <c r="T7" s="213" t="s">
        <v>108</v>
      </c>
      <c r="U7" s="213" t="s">
        <v>154</v>
      </c>
      <c r="V7" s="213">
        <v>28</v>
      </c>
      <c r="W7" t="s">
        <v>763</v>
      </c>
      <c r="Y7" t="s">
        <v>108</v>
      </c>
      <c r="Z7" t="s">
        <v>209</v>
      </c>
      <c r="AB7" s="266" t="s">
        <v>764</v>
      </c>
    </row>
    <row r="8" spans="1:28" ht="15" customHeight="1">
      <c r="A8" s="267" t="s">
        <v>765</v>
      </c>
      <c r="B8" s="267" t="s">
        <v>766</v>
      </c>
      <c r="C8" s="267" t="s">
        <v>767</v>
      </c>
      <c r="E8" s="267" t="s">
        <v>503</v>
      </c>
      <c r="F8" s="267" t="s">
        <v>768</v>
      </c>
      <c r="G8" s="267" t="s">
        <v>765</v>
      </c>
      <c r="J8" s="267" t="s">
        <v>769</v>
      </c>
      <c r="L8" t="s">
        <v>650</v>
      </c>
      <c r="N8" s="270" t="s">
        <v>770</v>
      </c>
      <c r="O8" s="270" t="s">
        <v>771</v>
      </c>
      <c r="P8" s="270"/>
      <c r="Q8" s="270" t="s">
        <v>772</v>
      </c>
      <c r="R8" s="270" t="s">
        <v>750</v>
      </c>
      <c r="T8" s="213" t="s">
        <v>110</v>
      </c>
      <c r="U8" s="213" t="s">
        <v>156</v>
      </c>
      <c r="V8" s="213">
        <v>30</v>
      </c>
      <c r="W8" t="s">
        <v>773</v>
      </c>
      <c r="Y8" t="s">
        <v>110</v>
      </c>
      <c r="Z8" t="s">
        <v>209</v>
      </c>
      <c r="AB8">
        <f ca="1">IFERROR(MATCH("📋 "&amp;TEXT(TODAY(),"mmm yyyy"),$W$3:$W$10,0),1)</f>
        <v>2</v>
      </c>
    </row>
    <row r="9" spans="1:28" ht="15" customHeight="1">
      <c r="E9" s="267" t="s">
        <v>474</v>
      </c>
      <c r="F9" s="267" t="s">
        <v>774</v>
      </c>
      <c r="G9" s="267" t="s">
        <v>775</v>
      </c>
      <c r="J9" s="267" t="s">
        <v>776</v>
      </c>
      <c r="L9" t="s">
        <v>651</v>
      </c>
      <c r="T9" s="213" t="s">
        <v>115</v>
      </c>
      <c r="U9" s="213" t="s">
        <v>160</v>
      </c>
      <c r="V9" s="213">
        <v>45</v>
      </c>
      <c r="W9" t="s">
        <v>777</v>
      </c>
      <c r="Y9" t="s">
        <v>115</v>
      </c>
      <c r="Z9" t="s">
        <v>209</v>
      </c>
      <c r="AB9" s="266" t="s">
        <v>778</v>
      </c>
    </row>
    <row r="10" spans="1:28" ht="15" customHeight="1">
      <c r="E10" s="267" t="s">
        <v>497</v>
      </c>
      <c r="F10" s="267" t="s">
        <v>779</v>
      </c>
      <c r="G10" s="267" t="s">
        <v>780</v>
      </c>
      <c r="J10" s="267" t="s">
        <v>781</v>
      </c>
      <c r="L10" t="s">
        <v>648</v>
      </c>
      <c r="T10" s="213" t="s">
        <v>119</v>
      </c>
      <c r="U10" s="213" t="s">
        <v>162</v>
      </c>
      <c r="V10" s="213">
        <v>60</v>
      </c>
      <c r="W10" t="s">
        <v>782</v>
      </c>
      <c r="Y10" t="s">
        <v>119</v>
      </c>
      <c r="Z10" t="s">
        <v>209</v>
      </c>
      <c r="AB10" t="str">
        <f ca="1">INDEX($W$3:$W$10,$AB$8)</f>
        <v>📋 Jun 2026</v>
      </c>
    </row>
    <row r="11" spans="1:28" ht="15" customHeight="1">
      <c r="E11" s="267" t="s">
        <v>167</v>
      </c>
      <c r="F11" s="267" t="s">
        <v>783</v>
      </c>
      <c r="G11" s="267" t="s">
        <v>783</v>
      </c>
      <c r="J11" s="267" t="s">
        <v>784</v>
      </c>
      <c r="L11" t="s">
        <v>653</v>
      </c>
      <c r="T11" s="213" t="s">
        <v>122</v>
      </c>
      <c r="U11" s="213" t="s">
        <v>164</v>
      </c>
      <c r="V11" s="213">
        <v>90</v>
      </c>
      <c r="Y11" t="s">
        <v>122</v>
      </c>
      <c r="Z11" t="s">
        <v>209</v>
      </c>
    </row>
    <row r="12" spans="1:28" ht="15" customHeight="1">
      <c r="E12" s="267" t="s">
        <v>785</v>
      </c>
      <c r="L12" t="s">
        <v>654</v>
      </c>
      <c r="T12" s="213" t="s">
        <v>125</v>
      </c>
      <c r="U12" s="213" t="s">
        <v>166</v>
      </c>
      <c r="Y12" t="s">
        <v>125</v>
      </c>
      <c r="Z12" t="s">
        <v>209</v>
      </c>
    </row>
    <row r="13" spans="1:28" ht="15" customHeight="1">
      <c r="E13" s="267" t="s">
        <v>786</v>
      </c>
      <c r="L13" t="s">
        <v>655</v>
      </c>
      <c r="T13" s="213" t="s">
        <v>131</v>
      </c>
      <c r="U13" s="213" t="s">
        <v>168</v>
      </c>
      <c r="Y13" t="s">
        <v>131</v>
      </c>
      <c r="Z13" t="s">
        <v>209</v>
      </c>
    </row>
    <row r="14" spans="1:28" ht="15" customHeight="1">
      <c r="E14" s="267" t="s">
        <v>506</v>
      </c>
      <c r="L14" t="s">
        <v>658</v>
      </c>
      <c r="T14" s="213" t="s">
        <v>133</v>
      </c>
      <c r="U14" s="213" t="s">
        <v>171</v>
      </c>
      <c r="Y14" t="s">
        <v>133</v>
      </c>
      <c r="Z14" t="s">
        <v>209</v>
      </c>
    </row>
    <row r="15" spans="1:28" ht="15" customHeight="1">
      <c r="E15" s="267" t="s">
        <v>220</v>
      </c>
      <c r="L15" t="s">
        <v>657</v>
      </c>
      <c r="T15" s="213" t="s">
        <v>137</v>
      </c>
      <c r="Y15" t="s">
        <v>137</v>
      </c>
      <c r="Z15" t="s">
        <v>209</v>
      </c>
    </row>
    <row r="16" spans="1:28" ht="15" customHeight="1">
      <c r="E16" s="267" t="s">
        <v>314</v>
      </c>
      <c r="L16" t="s">
        <v>661</v>
      </c>
      <c r="T16" s="213" t="s">
        <v>140</v>
      </c>
      <c r="Y16" t="s">
        <v>140</v>
      </c>
      <c r="Z16" t="s">
        <v>209</v>
      </c>
    </row>
    <row r="17" spans="12:26" ht="15" customHeight="1">
      <c r="L17" t="s">
        <v>662</v>
      </c>
      <c r="Y17" t="s">
        <v>143</v>
      </c>
      <c r="Z17" t="s">
        <v>219</v>
      </c>
    </row>
    <row r="18" spans="12:26" ht="15" customHeight="1">
      <c r="Y18" t="s">
        <v>145</v>
      </c>
      <c r="Z18" t="s">
        <v>219</v>
      </c>
    </row>
    <row r="19" spans="12:26" ht="15" customHeight="1">
      <c r="Y19" t="s">
        <v>148</v>
      </c>
      <c r="Z19" t="s">
        <v>219</v>
      </c>
    </row>
    <row r="20" spans="12:26" ht="15" customHeight="1">
      <c r="Y20" t="s">
        <v>151</v>
      </c>
      <c r="Z20" t="s">
        <v>219</v>
      </c>
    </row>
    <row r="21" spans="12:26" ht="15" customHeight="1">
      <c r="Y21" t="s">
        <v>154</v>
      </c>
      <c r="Z21" t="s">
        <v>219</v>
      </c>
    </row>
    <row r="22" spans="12:26" ht="15" customHeight="1">
      <c r="Y22" t="s">
        <v>156</v>
      </c>
      <c r="Z22" t="s">
        <v>219</v>
      </c>
    </row>
    <row r="23" spans="12:26" ht="15" customHeight="1">
      <c r="Y23" t="s">
        <v>160</v>
      </c>
      <c r="Z23" t="s">
        <v>219</v>
      </c>
    </row>
    <row r="24" spans="12:26" ht="15" customHeight="1">
      <c r="Y24" t="s">
        <v>162</v>
      </c>
      <c r="Z24" t="s">
        <v>219</v>
      </c>
    </row>
    <row r="25" spans="12:26" ht="15" customHeight="1">
      <c r="Y25" t="s">
        <v>164</v>
      </c>
      <c r="Z25" t="s">
        <v>219</v>
      </c>
    </row>
    <row r="26" spans="12:26" ht="15" customHeight="1">
      <c r="Y26" t="s">
        <v>166</v>
      </c>
      <c r="Z26" t="s">
        <v>219</v>
      </c>
    </row>
    <row r="27" spans="12:26" ht="15" customHeight="1">
      <c r="Y27" t="s">
        <v>168</v>
      </c>
      <c r="Z27" t="s">
        <v>219</v>
      </c>
    </row>
    <row r="28" spans="12:26" ht="15" customHeight="1">
      <c r="Y28" t="s">
        <v>171</v>
      </c>
      <c r="Z28" t="s">
        <v>219</v>
      </c>
    </row>
    <row r="29" spans="12:26" ht="15" hidden="1" customHeight="1"/>
    <row r="30" spans="12:26" ht="15" hidden="1" customHeight="1"/>
    <row r="31" spans="12:26" ht="15" hidden="1" customHeight="1"/>
    <row r="32" spans="12:26"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sheetData>
  <mergeCells count="2">
    <mergeCell ref="A1:J1"/>
    <mergeCell ref="N2:R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787</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17" priority="2">
      <formula>AND($B5&lt;&gt;"",COUNTIF(DO_NOT_READMIT,$B5)&gt;0)</formula>
    </cfRule>
  </conditionalFormatting>
  <conditionalFormatting sqref="M5:M60">
    <cfRule type="expression" dxfId="16" priority="3">
      <formula>COUNTIF(NON_CONTRACTED,$M5)&gt;0</formula>
    </cfRule>
  </conditionalFormatting>
  <conditionalFormatting sqref="AC5:AC60">
    <cfRule type="expression" dxfId="15" priority="4">
      <formula>AND($J5="Ahbra",$AC5="")</formula>
    </cfRule>
  </conditionalFormatting>
  <dataValidations count="9">
    <dataValidation type="list" allowBlank="1" sqref="G5:G60" xr:uid="{00000000-0002-0000-1100-000000000000}">
      <formula1>FACILITY</formula1>
      <formula2>0</formula2>
    </dataValidation>
    <dataValidation type="list" allowBlank="1" sqref="H5:I60" xr:uid="{00000000-0002-0000-1100-000001000000}">
      <formula1>LOC</formula1>
      <formula2>0</formula2>
    </dataValidation>
    <dataValidation type="list" allowBlank="1" sqref="J5:J60" xr:uid="{00000000-0002-0000-1100-000002000000}">
      <formula1>ACTIVE_REPS</formula1>
      <formula2>0</formula2>
    </dataValidation>
    <dataValidation type="list" allowBlank="1" sqref="K5:K60" xr:uid="{00000000-0002-0000-1100-000003000000}">
      <formula1>REF_CAT</formula1>
      <formula2>0</formula2>
    </dataValidation>
    <dataValidation type="list" allowBlank="1" sqref="M5:M60" xr:uid="{00000000-0002-0000-1100-000004000000}">
      <formula1>INSURANCE_OK</formula1>
      <formula2>0</formula2>
    </dataValidation>
    <dataValidation type="list" allowBlank="1" sqref="N5:N60" xr:uid="{00000000-0002-0000-1100-000005000000}">
      <formula1>INS_TYPE</formula1>
      <formula2>0</formula2>
    </dataValidation>
    <dataValidation type="list" allowBlank="1" sqref="AB5:AB60" xr:uid="{00000000-0002-0000-1100-000006000000}">
      <formula1>"New,Alumni,Split"</formula1>
      <formula2>0</formula2>
    </dataValidation>
    <dataValidation type="list" allowBlank="1" showErrorMessage="1" error="Pick the closer: Amy, Nelson or Matthew" sqref="AC5:AC60" xr:uid="{00000000-0002-0000-1100-000007000000}">
      <formula1>CLOSERS</formula1>
      <formula2>0</formula2>
    </dataValidation>
    <dataValidation type="list" allowBlank="1" sqref="F5:F60" xr:uid="{00000000-0002-0000-11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788</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14" priority="2">
      <formula>AND($B5&lt;&gt;"",COUNTIF(DO_NOT_READMIT,$B5)&gt;0)</formula>
    </cfRule>
  </conditionalFormatting>
  <conditionalFormatting sqref="M5:M60">
    <cfRule type="expression" dxfId="13" priority="3">
      <formula>COUNTIF(NON_CONTRACTED,$M5)&gt;0</formula>
    </cfRule>
  </conditionalFormatting>
  <conditionalFormatting sqref="AC5:AC60">
    <cfRule type="expression" dxfId="12" priority="4">
      <formula>AND($J5="Ahbra",$AC5="")</formula>
    </cfRule>
  </conditionalFormatting>
  <dataValidations count="9">
    <dataValidation type="list" allowBlank="1" sqref="G5:G60" xr:uid="{00000000-0002-0000-1200-000000000000}">
      <formula1>FACILITY</formula1>
      <formula2>0</formula2>
    </dataValidation>
    <dataValidation type="list" allowBlank="1" sqref="H5:I60" xr:uid="{00000000-0002-0000-1200-000001000000}">
      <formula1>LOC</formula1>
      <formula2>0</formula2>
    </dataValidation>
    <dataValidation type="list" allowBlank="1" sqref="J5:J60" xr:uid="{00000000-0002-0000-1200-000002000000}">
      <formula1>ACTIVE_REPS</formula1>
      <formula2>0</formula2>
    </dataValidation>
    <dataValidation type="list" allowBlank="1" sqref="K5:K60" xr:uid="{00000000-0002-0000-1200-000003000000}">
      <formula1>REF_CAT</formula1>
      <formula2>0</formula2>
    </dataValidation>
    <dataValidation type="list" allowBlank="1" sqref="M5:M60" xr:uid="{00000000-0002-0000-1200-000004000000}">
      <formula1>INSURANCE_OK</formula1>
      <formula2>0</formula2>
    </dataValidation>
    <dataValidation type="list" allowBlank="1" sqref="N5:N60" xr:uid="{00000000-0002-0000-1200-000005000000}">
      <formula1>INS_TYPE</formula1>
      <formula2>0</formula2>
    </dataValidation>
    <dataValidation type="list" allowBlank="1" sqref="AB5:AB60" xr:uid="{00000000-0002-0000-1200-000006000000}">
      <formula1>"New,Alumni,Split"</formula1>
      <formula2>0</formula2>
    </dataValidation>
    <dataValidation type="list" allowBlank="1" showErrorMessage="1" error="Pick the closer: Amy, Nelson or Matthew" sqref="AC5:AC60" xr:uid="{00000000-0002-0000-1200-000007000000}">
      <formula1>CLOSERS</formula1>
      <formula2>0</formula2>
    </dataValidation>
    <dataValidation type="list" allowBlank="1" sqref="F5:F60" xr:uid="{00000000-0002-0000-12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789</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11" priority="2">
      <formula>AND($B5&lt;&gt;"",COUNTIF(DO_NOT_READMIT,$B5)&gt;0)</formula>
    </cfRule>
  </conditionalFormatting>
  <conditionalFormatting sqref="M5:M60">
    <cfRule type="expression" dxfId="10" priority="3">
      <formula>COUNTIF(NON_CONTRACTED,$M5)&gt;0</formula>
    </cfRule>
  </conditionalFormatting>
  <conditionalFormatting sqref="AC5:AC60">
    <cfRule type="expression" dxfId="9" priority="4">
      <formula>AND($J5="Ahbra",$AC5="")</formula>
    </cfRule>
  </conditionalFormatting>
  <dataValidations count="9">
    <dataValidation type="list" allowBlank="1" sqref="G5:G60" xr:uid="{00000000-0002-0000-1300-000000000000}">
      <formula1>FACILITY</formula1>
      <formula2>0</formula2>
    </dataValidation>
    <dataValidation type="list" allowBlank="1" sqref="H5:I60" xr:uid="{00000000-0002-0000-1300-000001000000}">
      <formula1>LOC</formula1>
      <formula2>0</formula2>
    </dataValidation>
    <dataValidation type="list" allowBlank="1" sqref="J5:J60" xr:uid="{00000000-0002-0000-1300-000002000000}">
      <formula1>ACTIVE_REPS</formula1>
      <formula2>0</formula2>
    </dataValidation>
    <dataValidation type="list" allowBlank="1" sqref="K5:K60" xr:uid="{00000000-0002-0000-1300-000003000000}">
      <formula1>REF_CAT</formula1>
      <formula2>0</formula2>
    </dataValidation>
    <dataValidation type="list" allowBlank="1" sqref="M5:M60" xr:uid="{00000000-0002-0000-1300-000004000000}">
      <formula1>INSURANCE_OK</formula1>
      <formula2>0</formula2>
    </dataValidation>
    <dataValidation type="list" allowBlank="1" sqref="N5:N60" xr:uid="{00000000-0002-0000-1300-000005000000}">
      <formula1>INS_TYPE</formula1>
      <formula2>0</formula2>
    </dataValidation>
    <dataValidation type="list" allowBlank="1" sqref="AB5:AB60" xr:uid="{00000000-0002-0000-1300-000006000000}">
      <formula1>"New,Alumni,Split"</formula1>
      <formula2>0</formula2>
    </dataValidation>
    <dataValidation type="list" allowBlank="1" showErrorMessage="1" error="Pick the closer: Amy, Nelson or Matthew" sqref="AC5:AC60" xr:uid="{00000000-0002-0000-1300-000007000000}">
      <formula1>CLOSERS</formula1>
      <formula2>0</formula2>
    </dataValidation>
    <dataValidation type="list" allowBlank="1" sqref="F5:F60" xr:uid="{00000000-0002-0000-13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790</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8" priority="2">
      <formula>AND($B5&lt;&gt;"",COUNTIF(DO_NOT_READMIT,$B5)&gt;0)</formula>
    </cfRule>
  </conditionalFormatting>
  <conditionalFormatting sqref="M5:M60">
    <cfRule type="expression" dxfId="7" priority="3">
      <formula>COUNTIF(NON_CONTRACTED,$M5)&gt;0</formula>
    </cfRule>
  </conditionalFormatting>
  <conditionalFormatting sqref="AC5:AC60">
    <cfRule type="expression" dxfId="6" priority="4">
      <formula>AND($J5="Ahbra",$AC5="")</formula>
    </cfRule>
  </conditionalFormatting>
  <dataValidations count="9">
    <dataValidation type="list" allowBlank="1" sqref="G5:G60" xr:uid="{00000000-0002-0000-1400-000000000000}">
      <formula1>FACILITY</formula1>
      <formula2>0</formula2>
    </dataValidation>
    <dataValidation type="list" allowBlank="1" sqref="H5:I60" xr:uid="{00000000-0002-0000-1400-000001000000}">
      <formula1>LOC</formula1>
      <formula2>0</formula2>
    </dataValidation>
    <dataValidation type="list" allowBlank="1" sqref="J5:J60" xr:uid="{00000000-0002-0000-1400-000002000000}">
      <formula1>ACTIVE_REPS</formula1>
      <formula2>0</formula2>
    </dataValidation>
    <dataValidation type="list" allowBlank="1" sqref="K5:K60" xr:uid="{00000000-0002-0000-1400-000003000000}">
      <formula1>REF_CAT</formula1>
      <formula2>0</formula2>
    </dataValidation>
    <dataValidation type="list" allowBlank="1" sqref="M5:M60" xr:uid="{00000000-0002-0000-1400-000004000000}">
      <formula1>INSURANCE_OK</formula1>
      <formula2>0</formula2>
    </dataValidation>
    <dataValidation type="list" allowBlank="1" sqref="N5:N60" xr:uid="{00000000-0002-0000-1400-000005000000}">
      <formula1>INS_TYPE</formula1>
      <formula2>0</formula2>
    </dataValidation>
    <dataValidation type="list" allowBlank="1" sqref="AB5:AB60" xr:uid="{00000000-0002-0000-1400-000006000000}">
      <formula1>"New,Alumni,Split"</formula1>
      <formula2>0</formula2>
    </dataValidation>
    <dataValidation type="list" allowBlank="1" showErrorMessage="1" error="Pick the closer: Amy, Nelson or Matthew" sqref="AC5:AC60" xr:uid="{00000000-0002-0000-1400-000007000000}">
      <formula1>CLOSERS</formula1>
      <formula2>0</formula2>
    </dataValidation>
    <dataValidation type="list" allowBlank="1" sqref="F5:F60" xr:uid="{00000000-0002-0000-14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791</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5" priority="2">
      <formula>AND($B5&lt;&gt;"",COUNTIF(DO_NOT_READMIT,$B5)&gt;0)</formula>
    </cfRule>
  </conditionalFormatting>
  <conditionalFormatting sqref="M5:M60">
    <cfRule type="expression" dxfId="4" priority="3">
      <formula>COUNTIF(NON_CONTRACTED,$M5)&gt;0</formula>
    </cfRule>
  </conditionalFormatting>
  <conditionalFormatting sqref="AC5:AC60">
    <cfRule type="expression" dxfId="3" priority="4">
      <formula>AND($J5="Ahbra",$AC5="")</formula>
    </cfRule>
  </conditionalFormatting>
  <dataValidations count="9">
    <dataValidation type="list" allowBlank="1" sqref="G5:G60" xr:uid="{00000000-0002-0000-1500-000000000000}">
      <formula1>FACILITY</formula1>
      <formula2>0</formula2>
    </dataValidation>
    <dataValidation type="list" allowBlank="1" sqref="H5:I60" xr:uid="{00000000-0002-0000-1500-000001000000}">
      <formula1>LOC</formula1>
      <formula2>0</formula2>
    </dataValidation>
    <dataValidation type="list" allowBlank="1" sqref="J5:J60" xr:uid="{00000000-0002-0000-1500-000002000000}">
      <formula1>ACTIVE_REPS</formula1>
      <formula2>0</formula2>
    </dataValidation>
    <dataValidation type="list" allowBlank="1" sqref="K5:K60" xr:uid="{00000000-0002-0000-1500-000003000000}">
      <formula1>REF_CAT</formula1>
      <formula2>0</formula2>
    </dataValidation>
    <dataValidation type="list" allowBlank="1" sqref="M5:M60" xr:uid="{00000000-0002-0000-1500-000004000000}">
      <formula1>INSURANCE_OK</formula1>
      <formula2>0</formula2>
    </dataValidation>
    <dataValidation type="list" allowBlank="1" sqref="N5:N60" xr:uid="{00000000-0002-0000-1500-000005000000}">
      <formula1>INS_TYPE</formula1>
      <formula2>0</formula2>
    </dataValidation>
    <dataValidation type="list" allowBlank="1" sqref="AB5:AB60" xr:uid="{00000000-0002-0000-1500-000006000000}">
      <formula1>"New,Alumni,Split"</formula1>
      <formula2>0</formula2>
    </dataValidation>
    <dataValidation type="list" allowBlank="1" showErrorMessage="1" error="Pick the closer: Amy, Nelson or Matthew" sqref="AC5:AC60" xr:uid="{00000000-0002-0000-1500-000007000000}">
      <formula1>CLOSERS</formula1>
      <formula2>0</formula2>
    </dataValidation>
    <dataValidation type="list" allowBlank="1" sqref="F5:F60" xr:uid="{00000000-0002-0000-15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BC260"/>
  <sheetViews>
    <sheetView showGridLines="0" zoomScale="140" zoomScaleNormal="140" workbookViewId="0"/>
  </sheetViews>
  <sheetFormatPr defaultColWidth="12" defaultRowHeight="15"/>
  <cols>
    <col min="1" max="1" width="4" customWidth="1"/>
    <col min="2" max="2" width="24" customWidth="1"/>
    <col min="3" max="4" width="13" customWidth="1"/>
    <col min="5" max="5" width="7" customWidth="1"/>
    <col min="6" max="6" width="14" customWidth="1"/>
    <col min="7" max="8" width="10" customWidth="1"/>
    <col min="9" max="9" width="8" customWidth="1"/>
    <col min="10" max="10" width="9" customWidth="1"/>
    <col min="11" max="11" width="14" customWidth="1"/>
    <col min="12" max="12" width="18" customWidth="1"/>
    <col min="13" max="13" width="16" customWidth="1"/>
    <col min="14" max="14" width="14" customWidth="1"/>
    <col min="15" max="15" width="22" customWidth="1"/>
    <col min="16" max="18" width="10" customWidth="1"/>
    <col min="20" max="21" width="10" customWidth="1"/>
    <col min="23" max="23" width="32" customWidth="1"/>
    <col min="24" max="25" width="9" customWidth="1"/>
    <col min="26" max="26" width="10" customWidth="1"/>
    <col min="27" max="27" width="8.7109375" customWidth="1"/>
    <col min="28" max="28" width="11" customWidth="1"/>
    <col min="30" max="55" width="13" hidden="1" customWidth="1"/>
  </cols>
  <sheetData>
    <row r="1" spans="1:29" ht="25.5" customHeight="1">
      <c r="A1" s="306" t="s">
        <v>792</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29" ht="15.75" customHeight="1">
      <c r="A2" s="307" t="str">
        <f>COUNTA(B5:B60)&amp;" Admits"</f>
        <v>0 Admits</v>
      </c>
      <c r="B2" s="307"/>
      <c r="C2" s="307"/>
      <c r="D2" s="307"/>
      <c r="E2" s="307"/>
      <c r="G2" s="308" t="s">
        <v>264</v>
      </c>
      <c r="H2" s="308"/>
      <c r="I2" s="308"/>
      <c r="J2" s="308"/>
      <c r="K2" s="112"/>
    </row>
    <row r="3" spans="1:29" ht="6" customHeight="1">
      <c r="A3" s="333"/>
      <c r="B3" s="333"/>
      <c r="C3" s="333"/>
      <c r="D3" s="333"/>
      <c r="E3" s="333"/>
      <c r="F3" s="333"/>
      <c r="G3" s="333"/>
      <c r="H3" s="333"/>
      <c r="I3" s="333"/>
      <c r="J3" s="333"/>
      <c r="K3" s="333"/>
      <c r="L3" s="333"/>
      <c r="M3" s="333"/>
      <c r="N3" s="333"/>
      <c r="O3" s="333"/>
      <c r="P3" s="333"/>
      <c r="Q3" s="333"/>
      <c r="R3" s="333"/>
      <c r="S3" s="333"/>
      <c r="T3" s="333"/>
      <c r="U3" s="333"/>
      <c r="V3" s="333"/>
      <c r="W3" s="333"/>
      <c r="X3" s="333"/>
      <c r="Y3" s="333"/>
      <c r="Z3" s="333"/>
    </row>
    <row r="4" spans="1:29" ht="31.5" customHeight="1">
      <c r="A4" s="113" t="s">
        <v>210</v>
      </c>
      <c r="B4" s="114" t="s">
        <v>265</v>
      </c>
      <c r="C4" s="113" t="s">
        <v>13</v>
      </c>
      <c r="D4" s="113" t="s">
        <v>15</v>
      </c>
      <c r="E4" s="113" t="s">
        <v>266</v>
      </c>
      <c r="F4" s="113" t="s">
        <v>267</v>
      </c>
      <c r="G4" s="113" t="s">
        <v>268</v>
      </c>
      <c r="H4" s="113" t="s">
        <v>18</v>
      </c>
      <c r="I4" s="115" t="s">
        <v>88</v>
      </c>
      <c r="J4" s="113" t="s">
        <v>17</v>
      </c>
      <c r="K4" s="116" t="s">
        <v>269</v>
      </c>
      <c r="L4" s="114" t="s">
        <v>270</v>
      </c>
      <c r="M4" s="114" t="s">
        <v>21</v>
      </c>
      <c r="N4" s="113" t="s">
        <v>271</v>
      </c>
      <c r="O4" s="114" t="s">
        <v>272</v>
      </c>
      <c r="P4" s="113" t="s">
        <v>273</v>
      </c>
      <c r="Q4" s="113" t="s">
        <v>220</v>
      </c>
      <c r="R4" s="113" t="s">
        <v>274</v>
      </c>
      <c r="S4" s="113" t="s">
        <v>275</v>
      </c>
      <c r="T4" s="113" t="s">
        <v>276</v>
      </c>
      <c r="U4" s="113" t="s">
        <v>277</v>
      </c>
      <c r="V4" s="113" t="s">
        <v>278</v>
      </c>
      <c r="W4" s="113"/>
      <c r="X4" s="114" t="s">
        <v>279</v>
      </c>
      <c r="Y4" s="113"/>
      <c r="Z4" s="113"/>
      <c r="AA4" s="113"/>
      <c r="AB4" s="113" t="s">
        <v>280</v>
      </c>
      <c r="AC4" s="287"/>
    </row>
    <row r="5" spans="1:29" ht="21.75" customHeight="1">
      <c r="A5" s="117"/>
      <c r="B5" s="117"/>
      <c r="C5" s="117"/>
      <c r="D5" s="117"/>
      <c r="E5" s="119" t="str">
        <f t="shared" ref="E5:E36" ca="1" si="0">IF(C5="","",IF(D5="",INT(TODAY())-INT(C5),MAX(0,INT(D5)-INT(C5))))</f>
        <v/>
      </c>
      <c r="F5" s="120"/>
      <c r="G5" s="117"/>
      <c r="H5" s="117"/>
      <c r="I5" s="121"/>
      <c r="J5" s="117"/>
      <c r="K5" s="117"/>
      <c r="L5" s="117"/>
      <c r="M5" s="117"/>
      <c r="N5" s="117"/>
      <c r="O5" s="117"/>
      <c r="P5" s="122"/>
      <c r="Q5" s="117"/>
      <c r="R5" s="122"/>
      <c r="S5" s="117"/>
      <c r="T5" s="117"/>
      <c r="U5" s="117"/>
      <c r="V5" s="119" t="str">
        <f t="shared" ref="V5:V36" si="1">IFERROR(IF(SUM($Q5,$R5,$S5,$T5,$U5)&gt;0,SUM($Q5,$R5,$S5,$T5,$U5),""),"")</f>
        <v/>
      </c>
      <c r="W5" s="119"/>
      <c r="X5" s="117"/>
      <c r="Y5" s="119"/>
      <c r="Z5" s="119"/>
      <c r="AA5" s="119"/>
      <c r="AB5" s="125"/>
      <c r="AC5" s="146"/>
    </row>
    <row r="6" spans="1:29" ht="21.75" customHeight="1">
      <c r="A6" s="117"/>
      <c r="B6" s="117"/>
      <c r="C6" s="117"/>
      <c r="D6" s="117"/>
      <c r="E6" s="119" t="str">
        <f t="shared" ca="1" si="0"/>
        <v/>
      </c>
      <c r="F6" s="120"/>
      <c r="G6" s="117"/>
      <c r="H6" s="117"/>
      <c r="I6" s="121"/>
      <c r="J6" s="117"/>
      <c r="K6" s="117"/>
      <c r="L6" s="117"/>
      <c r="M6" s="117"/>
      <c r="N6" s="117"/>
      <c r="O6" s="117"/>
      <c r="P6" s="126"/>
      <c r="Q6" s="117"/>
      <c r="R6" s="126"/>
      <c r="S6" s="117"/>
      <c r="T6" s="117"/>
      <c r="U6" s="117"/>
      <c r="V6" s="119" t="str">
        <f t="shared" si="1"/>
        <v/>
      </c>
      <c r="W6" s="119"/>
      <c r="X6" s="117"/>
      <c r="Y6" s="119"/>
      <c r="Z6" s="119"/>
      <c r="AA6" s="119"/>
      <c r="AB6" s="125"/>
      <c r="AC6" s="146"/>
    </row>
    <row r="7" spans="1:29" ht="21.75" customHeight="1">
      <c r="A7" s="117"/>
      <c r="B7" s="117"/>
      <c r="C7" s="117"/>
      <c r="D7" s="117"/>
      <c r="E7" s="119" t="str">
        <f t="shared" ca="1" si="0"/>
        <v/>
      </c>
      <c r="F7" s="125"/>
      <c r="G7" s="117"/>
      <c r="H7" s="117"/>
      <c r="I7" s="121"/>
      <c r="J7" s="117"/>
      <c r="K7" s="117"/>
      <c r="L7" s="117"/>
      <c r="M7" s="117"/>
      <c r="N7" s="117"/>
      <c r="O7" s="117"/>
      <c r="P7" s="122"/>
      <c r="Q7" s="117"/>
      <c r="R7" s="122"/>
      <c r="S7" s="117"/>
      <c r="T7" s="117"/>
      <c r="U7" s="117"/>
      <c r="V7" s="119" t="str">
        <f t="shared" si="1"/>
        <v/>
      </c>
      <c r="W7" s="119"/>
      <c r="X7" s="117"/>
      <c r="Y7" s="119"/>
      <c r="Z7" s="119"/>
      <c r="AA7" s="119"/>
      <c r="AB7" s="125"/>
      <c r="AC7" s="146"/>
    </row>
    <row r="8" spans="1:29" ht="21.75" customHeight="1">
      <c r="A8" s="117"/>
      <c r="B8" s="117"/>
      <c r="C8" s="117"/>
      <c r="D8" s="117"/>
      <c r="E8" s="119" t="str">
        <f t="shared" ca="1" si="0"/>
        <v/>
      </c>
      <c r="F8" s="127"/>
      <c r="G8" s="117"/>
      <c r="H8" s="117"/>
      <c r="I8" s="121"/>
      <c r="J8" s="117"/>
      <c r="K8" s="117"/>
      <c r="L8" s="117"/>
      <c r="M8" s="117"/>
      <c r="N8" s="117"/>
      <c r="O8" s="117"/>
      <c r="P8" s="126"/>
      <c r="Q8" s="117"/>
      <c r="R8" s="126"/>
      <c r="S8" s="117"/>
      <c r="T8" s="117"/>
      <c r="U8" s="117"/>
      <c r="V8" s="119" t="str">
        <f t="shared" si="1"/>
        <v/>
      </c>
      <c r="W8" s="119"/>
      <c r="X8" s="117"/>
      <c r="Y8" s="119"/>
      <c r="Z8" s="119"/>
      <c r="AA8" s="119"/>
      <c r="AB8" s="125"/>
      <c r="AC8" s="146"/>
    </row>
    <row r="9" spans="1:29" ht="21.75" customHeight="1">
      <c r="A9" s="117"/>
      <c r="B9" s="117"/>
      <c r="C9" s="117"/>
      <c r="D9" s="117"/>
      <c r="E9" s="119" t="str">
        <f t="shared" ca="1" si="0"/>
        <v/>
      </c>
      <c r="F9" s="120"/>
      <c r="G9" s="117"/>
      <c r="H9" s="117"/>
      <c r="I9" s="121"/>
      <c r="J9" s="117"/>
      <c r="K9" s="117"/>
      <c r="L9" s="117"/>
      <c r="M9" s="117"/>
      <c r="N9" s="117"/>
      <c r="O9" s="117"/>
      <c r="P9" s="122"/>
      <c r="Q9" s="117"/>
      <c r="R9" s="122"/>
      <c r="S9" s="117"/>
      <c r="T9" s="117"/>
      <c r="U9" s="117"/>
      <c r="V9" s="119" t="str">
        <f t="shared" si="1"/>
        <v/>
      </c>
      <c r="W9" s="119"/>
      <c r="X9" s="117"/>
      <c r="Y9" s="119"/>
      <c r="Z9" s="119"/>
      <c r="AA9" s="119"/>
      <c r="AB9" s="125"/>
      <c r="AC9" s="146"/>
    </row>
    <row r="10" spans="1:29" ht="21.75" customHeight="1">
      <c r="A10" s="117"/>
      <c r="B10" s="117"/>
      <c r="C10" s="117"/>
      <c r="D10" s="117"/>
      <c r="E10" s="119" t="str">
        <f t="shared" ca="1" si="0"/>
        <v/>
      </c>
      <c r="F10" s="120"/>
      <c r="G10" s="117"/>
      <c r="H10" s="117"/>
      <c r="I10" s="121"/>
      <c r="J10" s="117"/>
      <c r="K10" s="117"/>
      <c r="L10" s="117"/>
      <c r="M10" s="117"/>
      <c r="N10" s="117"/>
      <c r="O10" s="117"/>
      <c r="P10" s="126"/>
      <c r="Q10" s="117"/>
      <c r="R10" s="126"/>
      <c r="S10" s="117"/>
      <c r="T10" s="117"/>
      <c r="U10" s="117"/>
      <c r="V10" s="119" t="str">
        <f t="shared" si="1"/>
        <v/>
      </c>
      <c r="W10" s="119"/>
      <c r="X10" s="117"/>
      <c r="Y10" s="119"/>
      <c r="Z10" s="119"/>
      <c r="AA10" s="119"/>
      <c r="AB10" s="125"/>
      <c r="AC10" s="146"/>
    </row>
    <row r="11" spans="1:29" ht="21.75" customHeight="1">
      <c r="A11" s="117"/>
      <c r="B11" s="117"/>
      <c r="C11" s="117"/>
      <c r="D11" s="117"/>
      <c r="E11" s="119" t="str">
        <f t="shared" ca="1" si="0"/>
        <v/>
      </c>
      <c r="F11" s="120"/>
      <c r="G11" s="117"/>
      <c r="H11" s="117"/>
      <c r="I11" s="121"/>
      <c r="J11" s="117"/>
      <c r="K11" s="117"/>
      <c r="L11" s="117"/>
      <c r="M11" s="117"/>
      <c r="N11" s="117"/>
      <c r="O11" s="117"/>
      <c r="P11" s="122"/>
      <c r="Q11" s="117"/>
      <c r="R11" s="122"/>
      <c r="S11" s="117"/>
      <c r="T11" s="117"/>
      <c r="U11" s="117"/>
      <c r="V11" s="119" t="str">
        <f t="shared" si="1"/>
        <v/>
      </c>
      <c r="W11" s="119"/>
      <c r="X11" s="117"/>
      <c r="Y11" s="119"/>
      <c r="Z11" s="119"/>
      <c r="AA11" s="119"/>
      <c r="AB11" s="125"/>
      <c r="AC11" s="146"/>
    </row>
    <row r="12" spans="1:29" ht="21.75" customHeight="1">
      <c r="A12" s="117"/>
      <c r="B12" s="117"/>
      <c r="C12" s="117"/>
      <c r="D12" s="117"/>
      <c r="E12" s="119" t="str">
        <f t="shared" ca="1" si="0"/>
        <v/>
      </c>
      <c r="F12" s="120"/>
      <c r="G12" s="117"/>
      <c r="H12" s="117"/>
      <c r="I12" s="121"/>
      <c r="J12" s="117"/>
      <c r="K12" s="117"/>
      <c r="L12" s="117"/>
      <c r="M12" s="117"/>
      <c r="N12" s="117"/>
      <c r="O12" s="117"/>
      <c r="P12" s="126"/>
      <c r="Q12" s="117"/>
      <c r="R12" s="126"/>
      <c r="S12" s="117"/>
      <c r="T12" s="117"/>
      <c r="U12" s="117"/>
      <c r="V12" s="119" t="str">
        <f t="shared" si="1"/>
        <v/>
      </c>
      <c r="W12" s="119"/>
      <c r="X12" s="117"/>
      <c r="Y12" s="119"/>
      <c r="Z12" s="119"/>
      <c r="AA12" s="119"/>
      <c r="AB12" s="125"/>
      <c r="AC12" s="146"/>
    </row>
    <row r="13" spans="1:29" ht="21.75" customHeight="1">
      <c r="A13" s="117"/>
      <c r="B13" s="117"/>
      <c r="C13" s="117"/>
      <c r="D13" s="117"/>
      <c r="E13" s="119" t="str">
        <f t="shared" ca="1" si="0"/>
        <v/>
      </c>
      <c r="F13" s="125"/>
      <c r="G13" s="117"/>
      <c r="H13" s="117"/>
      <c r="I13" s="121"/>
      <c r="J13" s="117"/>
      <c r="K13" s="117"/>
      <c r="L13" s="117"/>
      <c r="M13" s="117"/>
      <c r="N13" s="117"/>
      <c r="O13" s="117"/>
      <c r="P13" s="122"/>
      <c r="Q13" s="117"/>
      <c r="R13" s="122"/>
      <c r="S13" s="117"/>
      <c r="T13" s="117"/>
      <c r="U13" s="117"/>
      <c r="V13" s="119" t="str">
        <f t="shared" si="1"/>
        <v/>
      </c>
      <c r="W13" s="119"/>
      <c r="X13" s="117"/>
      <c r="Y13" s="119"/>
      <c r="Z13" s="119"/>
      <c r="AA13" s="119"/>
      <c r="AB13" s="125"/>
      <c r="AC13" s="146"/>
    </row>
    <row r="14" spans="1:29" ht="21.75" customHeight="1">
      <c r="A14" s="117"/>
      <c r="B14" s="117"/>
      <c r="C14" s="117"/>
      <c r="D14" s="117"/>
      <c r="E14" s="119" t="str">
        <f t="shared" ca="1" si="0"/>
        <v/>
      </c>
      <c r="F14" s="125"/>
      <c r="G14" s="117"/>
      <c r="H14" s="117"/>
      <c r="I14" s="121"/>
      <c r="J14" s="117"/>
      <c r="K14" s="117"/>
      <c r="L14" s="117"/>
      <c r="M14" s="117"/>
      <c r="N14" s="117"/>
      <c r="O14" s="117"/>
      <c r="P14" s="126"/>
      <c r="Q14" s="117"/>
      <c r="R14" s="126"/>
      <c r="S14" s="117"/>
      <c r="T14" s="117"/>
      <c r="U14" s="117"/>
      <c r="V14" s="119" t="str">
        <f t="shared" si="1"/>
        <v/>
      </c>
      <c r="W14" s="119"/>
      <c r="X14" s="117"/>
      <c r="Y14" s="119"/>
      <c r="Z14" s="119"/>
      <c r="AA14" s="119"/>
      <c r="AB14" s="125"/>
      <c r="AC14" s="146"/>
    </row>
    <row r="15" spans="1:29" ht="21.75" customHeight="1">
      <c r="A15" s="117"/>
      <c r="B15" s="117"/>
      <c r="C15" s="117"/>
      <c r="D15" s="117"/>
      <c r="E15" s="119" t="str">
        <f t="shared" ca="1" si="0"/>
        <v/>
      </c>
      <c r="F15" s="125"/>
      <c r="G15" s="117"/>
      <c r="H15" s="117"/>
      <c r="I15" s="121"/>
      <c r="J15" s="117"/>
      <c r="K15" s="117"/>
      <c r="L15" s="117"/>
      <c r="M15" s="117"/>
      <c r="N15" s="117"/>
      <c r="O15" s="117"/>
      <c r="P15" s="122"/>
      <c r="Q15" s="117"/>
      <c r="R15" s="122"/>
      <c r="S15" s="117"/>
      <c r="T15" s="117"/>
      <c r="U15" s="117"/>
      <c r="V15" s="119" t="str">
        <f t="shared" si="1"/>
        <v/>
      </c>
      <c r="W15" s="119"/>
      <c r="X15" s="117"/>
      <c r="Y15" s="119"/>
      <c r="Z15" s="119"/>
      <c r="AA15" s="119"/>
      <c r="AB15" s="125"/>
      <c r="AC15" s="146"/>
    </row>
    <row r="16" spans="1:29" ht="21.75" customHeight="1">
      <c r="A16" s="117"/>
      <c r="B16" s="117"/>
      <c r="C16" s="117"/>
      <c r="D16" s="117"/>
      <c r="E16" s="119" t="str">
        <f t="shared" ca="1" si="0"/>
        <v/>
      </c>
      <c r="F16" s="125"/>
      <c r="G16" s="117"/>
      <c r="H16" s="117"/>
      <c r="I16" s="121"/>
      <c r="J16" s="117"/>
      <c r="K16" s="117"/>
      <c r="L16" s="117"/>
      <c r="M16" s="117"/>
      <c r="N16" s="117"/>
      <c r="O16" s="117"/>
      <c r="P16" s="126"/>
      <c r="Q16" s="117"/>
      <c r="R16" s="126"/>
      <c r="S16" s="117"/>
      <c r="T16" s="117"/>
      <c r="U16" s="117"/>
      <c r="V16" s="119" t="str">
        <f t="shared" si="1"/>
        <v/>
      </c>
      <c r="W16" s="119"/>
      <c r="X16" s="117"/>
      <c r="Y16" s="119"/>
      <c r="Z16" s="119"/>
      <c r="AA16" s="119"/>
      <c r="AB16" s="125"/>
      <c r="AC16" s="146"/>
    </row>
    <row r="17" spans="1:29" ht="21.75" customHeight="1">
      <c r="A17" s="117"/>
      <c r="B17" s="117"/>
      <c r="C17" s="117"/>
      <c r="D17" s="117"/>
      <c r="E17" s="119" t="str">
        <f t="shared" ca="1" si="0"/>
        <v/>
      </c>
      <c r="F17" s="120"/>
      <c r="G17" s="117"/>
      <c r="H17" s="117"/>
      <c r="I17" s="121"/>
      <c r="J17" s="117"/>
      <c r="K17" s="117"/>
      <c r="L17" s="117"/>
      <c r="M17" s="117"/>
      <c r="N17" s="117"/>
      <c r="O17" s="117"/>
      <c r="P17" s="122"/>
      <c r="Q17" s="117"/>
      <c r="R17" s="122"/>
      <c r="S17" s="117"/>
      <c r="T17" s="117"/>
      <c r="U17" s="117"/>
      <c r="V17" s="119" t="str">
        <f t="shared" si="1"/>
        <v/>
      </c>
      <c r="W17" s="119"/>
      <c r="X17" s="117"/>
      <c r="Y17" s="119"/>
      <c r="Z17" s="119"/>
      <c r="AA17" s="119"/>
      <c r="AB17" s="125"/>
      <c r="AC17" s="146"/>
    </row>
    <row r="18" spans="1:29" ht="21.75" customHeight="1">
      <c r="A18" s="117"/>
      <c r="B18" s="117"/>
      <c r="C18" s="117"/>
      <c r="D18" s="117"/>
      <c r="E18" s="119" t="str">
        <f t="shared" ca="1" si="0"/>
        <v/>
      </c>
      <c r="F18" s="125"/>
      <c r="G18" s="117"/>
      <c r="H18" s="117"/>
      <c r="I18" s="121"/>
      <c r="J18" s="117"/>
      <c r="K18" s="117"/>
      <c r="L18" s="117"/>
      <c r="M18" s="117"/>
      <c r="N18" s="117"/>
      <c r="O18" s="117"/>
      <c r="P18" s="126"/>
      <c r="Q18" s="117"/>
      <c r="R18" s="126"/>
      <c r="S18" s="117"/>
      <c r="T18" s="117"/>
      <c r="U18" s="117"/>
      <c r="V18" s="119" t="str">
        <f t="shared" si="1"/>
        <v/>
      </c>
      <c r="W18" s="119"/>
      <c r="X18" s="117"/>
      <c r="Y18" s="119"/>
      <c r="Z18" s="119"/>
      <c r="AA18" s="119"/>
      <c r="AB18" s="125"/>
      <c r="AC18" s="146"/>
    </row>
    <row r="19" spans="1:29" ht="21.75" customHeight="1">
      <c r="A19" s="117"/>
      <c r="B19" s="117"/>
      <c r="C19" s="117"/>
      <c r="D19" s="117"/>
      <c r="E19" s="119" t="str">
        <f t="shared" ca="1" si="0"/>
        <v/>
      </c>
      <c r="F19" s="125"/>
      <c r="G19" s="117"/>
      <c r="H19" s="117"/>
      <c r="I19" s="121"/>
      <c r="J19" s="117"/>
      <c r="K19" s="117"/>
      <c r="L19" s="117"/>
      <c r="M19" s="117"/>
      <c r="N19" s="117"/>
      <c r="O19" s="117"/>
      <c r="P19" s="122"/>
      <c r="Q19" s="117"/>
      <c r="R19" s="122"/>
      <c r="S19" s="117"/>
      <c r="T19" s="117"/>
      <c r="U19" s="117"/>
      <c r="V19" s="119" t="str">
        <f t="shared" si="1"/>
        <v/>
      </c>
      <c r="W19" s="119"/>
      <c r="X19" s="117"/>
      <c r="Y19" s="119"/>
      <c r="Z19" s="119"/>
      <c r="AA19" s="119"/>
      <c r="AB19" s="125"/>
      <c r="AC19" s="146"/>
    </row>
    <row r="20" spans="1:29" ht="21.75" customHeight="1">
      <c r="A20" s="117"/>
      <c r="B20" s="117"/>
      <c r="C20" s="117"/>
      <c r="D20" s="117"/>
      <c r="E20" s="119" t="str">
        <f t="shared" ca="1" si="0"/>
        <v/>
      </c>
      <c r="F20" s="120"/>
      <c r="G20" s="117"/>
      <c r="H20" s="117"/>
      <c r="I20" s="121"/>
      <c r="J20" s="117"/>
      <c r="K20" s="117"/>
      <c r="L20" s="117"/>
      <c r="M20" s="117"/>
      <c r="N20" s="117"/>
      <c r="O20" s="117"/>
      <c r="P20" s="128"/>
      <c r="Q20" s="117"/>
      <c r="R20" s="128"/>
      <c r="S20" s="117"/>
      <c r="T20" s="117"/>
      <c r="U20" s="117"/>
      <c r="V20" s="119" t="str">
        <f t="shared" si="1"/>
        <v/>
      </c>
      <c r="W20" s="119"/>
      <c r="X20" s="117"/>
      <c r="Y20" s="119"/>
      <c r="Z20" s="119"/>
      <c r="AA20" s="119"/>
      <c r="AB20" s="125"/>
      <c r="AC20" s="146"/>
    </row>
    <row r="21" spans="1:29" ht="21.75" customHeight="1">
      <c r="A21" s="117"/>
      <c r="B21" s="117"/>
      <c r="C21" s="117"/>
      <c r="D21" s="117"/>
      <c r="E21" s="119" t="str">
        <f t="shared" ca="1" si="0"/>
        <v/>
      </c>
      <c r="F21" s="120"/>
      <c r="G21" s="117"/>
      <c r="H21" s="117"/>
      <c r="I21" s="121"/>
      <c r="J21" s="117"/>
      <c r="K21" s="117"/>
      <c r="L21" s="117"/>
      <c r="M21" s="117"/>
      <c r="N21" s="117"/>
      <c r="O21" s="117"/>
      <c r="P21" s="122"/>
      <c r="Q21" s="117"/>
      <c r="R21" s="122"/>
      <c r="S21" s="117"/>
      <c r="T21" s="117"/>
      <c r="U21" s="117"/>
      <c r="V21" s="119" t="str">
        <f t="shared" si="1"/>
        <v/>
      </c>
      <c r="W21" s="119"/>
      <c r="X21" s="117"/>
      <c r="Y21" s="119"/>
      <c r="Z21" s="119"/>
      <c r="AA21" s="119"/>
      <c r="AB21" s="125"/>
      <c r="AC21" s="146"/>
    </row>
    <row r="22" spans="1:29" ht="21.75" customHeight="1">
      <c r="A22" s="117"/>
      <c r="B22" s="117"/>
      <c r="C22" s="117"/>
      <c r="D22" s="117"/>
      <c r="E22" s="119" t="str">
        <f t="shared" ca="1" si="0"/>
        <v/>
      </c>
      <c r="F22" s="120"/>
      <c r="G22" s="117"/>
      <c r="H22" s="117"/>
      <c r="I22" s="121"/>
      <c r="J22" s="117"/>
      <c r="K22" s="117"/>
      <c r="L22" s="117"/>
      <c r="M22" s="117"/>
      <c r="N22" s="117"/>
      <c r="O22" s="117"/>
      <c r="P22" s="126"/>
      <c r="Q22" s="117"/>
      <c r="R22" s="126"/>
      <c r="S22" s="117"/>
      <c r="T22" s="117"/>
      <c r="U22" s="117"/>
      <c r="V22" s="119" t="str">
        <f t="shared" si="1"/>
        <v/>
      </c>
      <c r="W22" s="119"/>
      <c r="X22" s="117"/>
      <c r="Y22" s="119"/>
      <c r="Z22" s="119"/>
      <c r="AA22" s="119"/>
      <c r="AB22" s="125"/>
      <c r="AC22" s="146"/>
    </row>
    <row r="23" spans="1:29" ht="21.75" customHeight="1">
      <c r="A23" s="117"/>
      <c r="B23" s="117"/>
      <c r="C23" s="117"/>
      <c r="D23" s="117"/>
      <c r="E23" s="119" t="str">
        <f t="shared" ca="1" si="0"/>
        <v/>
      </c>
      <c r="F23" s="120"/>
      <c r="G23" s="117"/>
      <c r="H23" s="117"/>
      <c r="I23" s="121"/>
      <c r="J23" s="117"/>
      <c r="K23" s="117"/>
      <c r="L23" s="117"/>
      <c r="M23" s="117"/>
      <c r="N23" s="117"/>
      <c r="O23" s="117"/>
      <c r="P23" s="122"/>
      <c r="Q23" s="117"/>
      <c r="R23" s="122"/>
      <c r="S23" s="117"/>
      <c r="T23" s="117"/>
      <c r="U23" s="117"/>
      <c r="V23" s="119" t="str">
        <f t="shared" si="1"/>
        <v/>
      </c>
      <c r="W23" s="119"/>
      <c r="X23" s="117"/>
      <c r="Y23" s="119"/>
      <c r="Z23" s="119"/>
      <c r="AA23" s="119"/>
      <c r="AB23" s="125"/>
      <c r="AC23" s="146"/>
    </row>
    <row r="24" spans="1:29" ht="21.75" customHeight="1">
      <c r="A24" s="117"/>
      <c r="B24" s="117"/>
      <c r="C24" s="117"/>
      <c r="D24" s="117"/>
      <c r="E24" s="119" t="str">
        <f t="shared" ca="1" si="0"/>
        <v/>
      </c>
      <c r="F24" s="120"/>
      <c r="G24" s="117"/>
      <c r="H24" s="117"/>
      <c r="I24" s="121"/>
      <c r="J24" s="117"/>
      <c r="K24" s="117"/>
      <c r="L24" s="117"/>
      <c r="M24" s="117"/>
      <c r="N24" s="117"/>
      <c r="O24" s="117"/>
      <c r="P24" s="126"/>
      <c r="Q24" s="117"/>
      <c r="R24" s="126"/>
      <c r="S24" s="117"/>
      <c r="T24" s="117"/>
      <c r="U24" s="117"/>
      <c r="V24" s="119" t="str">
        <f t="shared" si="1"/>
        <v/>
      </c>
      <c r="W24" s="119"/>
      <c r="X24" s="117"/>
      <c r="Y24" s="119"/>
      <c r="Z24" s="119"/>
      <c r="AA24" s="119"/>
      <c r="AB24" s="125"/>
      <c r="AC24" s="146"/>
    </row>
    <row r="25" spans="1:29" ht="21.75" customHeight="1">
      <c r="A25" s="117"/>
      <c r="B25" s="117"/>
      <c r="C25" s="117"/>
      <c r="D25" s="117"/>
      <c r="E25" s="119" t="str">
        <f t="shared" ca="1" si="0"/>
        <v/>
      </c>
      <c r="F25" s="127"/>
      <c r="G25" s="117"/>
      <c r="H25" s="117"/>
      <c r="I25" s="121"/>
      <c r="J25" s="117"/>
      <c r="K25" s="117"/>
      <c r="L25" s="117"/>
      <c r="M25" s="117"/>
      <c r="N25" s="117"/>
      <c r="O25" s="117"/>
      <c r="P25" s="122"/>
      <c r="Q25" s="117"/>
      <c r="R25" s="122"/>
      <c r="S25" s="117"/>
      <c r="T25" s="117"/>
      <c r="U25" s="117"/>
      <c r="V25" s="119" t="str">
        <f t="shared" si="1"/>
        <v/>
      </c>
      <c r="W25" s="119"/>
      <c r="X25" s="117"/>
      <c r="Y25" s="119"/>
      <c r="Z25" s="119"/>
      <c r="AA25" s="119"/>
      <c r="AB25" s="125"/>
      <c r="AC25" s="146"/>
    </row>
    <row r="26" spans="1:29" ht="21.75" customHeight="1">
      <c r="A26" s="117"/>
      <c r="B26" s="117"/>
      <c r="C26" s="117"/>
      <c r="D26" s="117"/>
      <c r="E26" s="119" t="str">
        <f t="shared" ca="1" si="0"/>
        <v/>
      </c>
      <c r="F26" s="127"/>
      <c r="G26" s="117"/>
      <c r="H26" s="117"/>
      <c r="I26" s="121"/>
      <c r="J26" s="117"/>
      <c r="K26" s="117"/>
      <c r="L26" s="117"/>
      <c r="M26" s="117"/>
      <c r="N26" s="117"/>
      <c r="O26" s="117"/>
      <c r="P26" s="126"/>
      <c r="Q26" s="117"/>
      <c r="R26" s="126"/>
      <c r="S26" s="117"/>
      <c r="T26" s="117"/>
      <c r="U26" s="117"/>
      <c r="V26" s="119" t="str">
        <f t="shared" si="1"/>
        <v/>
      </c>
      <c r="W26" s="119"/>
      <c r="X26" s="117"/>
      <c r="Y26" s="119"/>
      <c r="Z26" s="119"/>
      <c r="AA26" s="119"/>
      <c r="AB26" s="125"/>
      <c r="AC26" s="146"/>
    </row>
    <row r="27" spans="1:29" ht="21.75" customHeight="1">
      <c r="A27" s="121"/>
      <c r="B27" s="121"/>
      <c r="C27" s="121"/>
      <c r="D27" s="121"/>
      <c r="E27" s="132" t="str">
        <f t="shared" ca="1" si="0"/>
        <v/>
      </c>
      <c r="F27" s="121"/>
      <c r="G27" s="121"/>
      <c r="H27" s="121"/>
      <c r="I27" s="121"/>
      <c r="J27" s="121"/>
      <c r="K27" s="121"/>
      <c r="L27" s="121"/>
      <c r="M27" s="121"/>
      <c r="N27" s="121"/>
      <c r="O27" s="121"/>
      <c r="P27" s="133"/>
      <c r="Q27" s="121"/>
      <c r="R27" s="133"/>
      <c r="S27" s="121"/>
      <c r="T27" s="121"/>
      <c r="U27" s="121"/>
      <c r="V27" s="132" t="str">
        <f t="shared" si="1"/>
        <v/>
      </c>
      <c r="W27" s="132"/>
      <c r="X27" s="121"/>
      <c r="Y27" s="132"/>
      <c r="Z27" s="132"/>
      <c r="AA27" s="132"/>
      <c r="AB27" s="125"/>
      <c r="AC27" s="146"/>
    </row>
    <row r="28" spans="1:29" ht="15" customHeight="1">
      <c r="A28" s="121"/>
      <c r="B28" s="121"/>
      <c r="C28" s="121"/>
      <c r="D28" s="121"/>
      <c r="E28" s="132" t="str">
        <f t="shared" ca="1" si="0"/>
        <v/>
      </c>
      <c r="F28" s="121"/>
      <c r="G28" s="121"/>
      <c r="H28" s="121"/>
      <c r="I28" s="121"/>
      <c r="J28" s="121"/>
      <c r="K28" s="121"/>
      <c r="L28" s="121"/>
      <c r="M28" s="121"/>
      <c r="N28" s="121"/>
      <c r="O28" s="121"/>
      <c r="P28" s="133"/>
      <c r="Q28" s="121"/>
      <c r="R28" s="133"/>
      <c r="S28" s="121"/>
      <c r="T28" s="121"/>
      <c r="U28" s="121"/>
      <c r="V28" s="132" t="str">
        <f t="shared" si="1"/>
        <v/>
      </c>
      <c r="W28" s="132"/>
      <c r="X28" s="121"/>
      <c r="Y28" s="132"/>
      <c r="Z28" s="132"/>
      <c r="AA28" s="132"/>
      <c r="AB28" s="125"/>
      <c r="AC28" s="146"/>
    </row>
    <row r="29" spans="1:29" ht="15" customHeight="1">
      <c r="A29" s="121"/>
      <c r="B29" s="121"/>
      <c r="C29" s="121"/>
      <c r="D29" s="121"/>
      <c r="E29" s="132" t="str">
        <f t="shared" ca="1" si="0"/>
        <v/>
      </c>
      <c r="F29" s="121"/>
      <c r="G29" s="121"/>
      <c r="H29" s="121"/>
      <c r="I29" s="121"/>
      <c r="J29" s="121"/>
      <c r="K29" s="121"/>
      <c r="L29" s="121"/>
      <c r="M29" s="121"/>
      <c r="N29" s="121"/>
      <c r="O29" s="121"/>
      <c r="P29" s="133"/>
      <c r="Q29" s="121"/>
      <c r="R29" s="133"/>
      <c r="S29" s="121"/>
      <c r="T29" s="121"/>
      <c r="U29" s="121"/>
      <c r="V29" s="132" t="str">
        <f t="shared" si="1"/>
        <v/>
      </c>
      <c r="W29" s="132"/>
      <c r="X29" s="121"/>
      <c r="Y29" s="132"/>
      <c r="Z29" s="132"/>
      <c r="AA29" s="132"/>
      <c r="AB29" s="125"/>
      <c r="AC29" s="146"/>
    </row>
    <row r="30" spans="1:29" ht="18" customHeight="1">
      <c r="A30" s="136"/>
      <c r="B30" s="121"/>
      <c r="C30" s="121"/>
      <c r="D30" s="121"/>
      <c r="E30" s="132" t="str">
        <f t="shared" ca="1" si="0"/>
        <v/>
      </c>
      <c r="F30" s="121"/>
      <c r="G30" s="121"/>
      <c r="H30" s="121"/>
      <c r="I30" s="121"/>
      <c r="J30" s="121"/>
      <c r="K30" s="121"/>
      <c r="L30" s="121"/>
      <c r="M30" s="121"/>
      <c r="N30" s="121"/>
      <c r="O30" s="121"/>
      <c r="P30" s="133"/>
      <c r="Q30" s="121"/>
      <c r="R30" s="133"/>
      <c r="S30" s="121"/>
      <c r="T30" s="121"/>
      <c r="U30" s="121"/>
      <c r="V30" s="132" t="str">
        <f t="shared" si="1"/>
        <v/>
      </c>
      <c r="W30" s="132"/>
      <c r="X30" s="121"/>
      <c r="Y30" s="132"/>
      <c r="Z30" s="132"/>
      <c r="AA30" s="132"/>
      <c r="AB30" s="125"/>
      <c r="AC30" s="146"/>
    </row>
    <row r="31" spans="1:29" ht="21.75" customHeight="1">
      <c r="A31" s="137"/>
      <c r="B31" s="137"/>
      <c r="C31" s="137"/>
      <c r="D31" s="137"/>
      <c r="E31" s="139" t="str">
        <f t="shared" ca="1" si="0"/>
        <v/>
      </c>
      <c r="F31" s="137"/>
      <c r="G31" s="137"/>
      <c r="H31" s="137"/>
      <c r="I31" s="121"/>
      <c r="J31" s="121"/>
      <c r="K31" s="121"/>
      <c r="L31" s="121"/>
      <c r="M31" s="121"/>
      <c r="N31" s="121"/>
      <c r="O31" s="121"/>
      <c r="P31" s="133"/>
      <c r="Q31" s="121"/>
      <c r="R31" s="133"/>
      <c r="S31" s="121"/>
      <c r="T31" s="121"/>
      <c r="U31" s="121"/>
      <c r="V31" s="132" t="str">
        <f t="shared" si="1"/>
        <v/>
      </c>
      <c r="W31" s="132"/>
      <c r="X31" s="121"/>
      <c r="Y31" s="132"/>
      <c r="Z31" s="132"/>
      <c r="AA31" s="132"/>
      <c r="AB31" s="125"/>
      <c r="AC31" s="146"/>
    </row>
    <row r="32" spans="1:29" ht="19.5" customHeight="1">
      <c r="A32" s="140"/>
      <c r="B32" s="141"/>
      <c r="C32" s="141"/>
      <c r="D32" s="141"/>
      <c r="E32" s="143" t="str">
        <f t="shared" ca="1" si="0"/>
        <v/>
      </c>
      <c r="F32" s="141"/>
      <c r="G32" s="141"/>
      <c r="H32" s="141"/>
      <c r="I32" s="121"/>
      <c r="J32" s="121"/>
      <c r="K32" s="121"/>
      <c r="L32" s="121"/>
      <c r="M32" s="121"/>
      <c r="N32" s="121"/>
      <c r="O32" s="121"/>
      <c r="P32" s="133"/>
      <c r="Q32" s="121"/>
      <c r="R32" s="133"/>
      <c r="S32" s="121"/>
      <c r="T32" s="121"/>
      <c r="U32" s="121"/>
      <c r="V32" s="132" t="str">
        <f t="shared" si="1"/>
        <v/>
      </c>
      <c r="W32" s="132"/>
      <c r="X32" s="121"/>
      <c r="Y32" s="132"/>
      <c r="Z32" s="132"/>
      <c r="AA32" s="132"/>
      <c r="AB32" s="125"/>
      <c r="AC32" s="146"/>
    </row>
    <row r="33" spans="1:29" ht="19.5" customHeight="1">
      <c r="A33" s="140"/>
      <c r="B33" s="141"/>
      <c r="C33" s="141"/>
      <c r="D33" s="141"/>
      <c r="E33" s="143" t="str">
        <f t="shared" ca="1" si="0"/>
        <v/>
      </c>
      <c r="F33" s="141"/>
      <c r="G33" s="141"/>
      <c r="H33" s="141"/>
      <c r="I33" s="121"/>
      <c r="J33" s="121"/>
      <c r="K33" s="121"/>
      <c r="L33" s="121"/>
      <c r="M33" s="121"/>
      <c r="N33" s="121"/>
      <c r="O33" s="121"/>
      <c r="P33" s="133"/>
      <c r="Q33" s="121"/>
      <c r="R33" s="133"/>
      <c r="S33" s="121"/>
      <c r="T33" s="121"/>
      <c r="U33" s="121"/>
      <c r="V33" s="132" t="str">
        <f t="shared" si="1"/>
        <v/>
      </c>
      <c r="W33" s="132"/>
      <c r="X33" s="121"/>
      <c r="Y33" s="132"/>
      <c r="Z33" s="132"/>
      <c r="AA33" s="132"/>
      <c r="AB33" s="125"/>
      <c r="AC33" s="146"/>
    </row>
    <row r="34" spans="1:29" ht="19.5" customHeight="1">
      <c r="A34" s="140"/>
      <c r="B34" s="141"/>
      <c r="C34" s="141"/>
      <c r="D34" s="141"/>
      <c r="E34" s="143" t="str">
        <f t="shared" ca="1" si="0"/>
        <v/>
      </c>
      <c r="F34" s="141"/>
      <c r="G34" s="141"/>
      <c r="H34" s="141"/>
      <c r="I34" s="121"/>
      <c r="J34" s="121"/>
      <c r="K34" s="121"/>
      <c r="L34" s="121"/>
      <c r="M34" s="121"/>
      <c r="N34" s="121"/>
      <c r="O34" s="121"/>
      <c r="P34" s="133"/>
      <c r="Q34" s="121"/>
      <c r="R34" s="133"/>
      <c r="S34" s="121"/>
      <c r="T34" s="121"/>
      <c r="U34" s="121"/>
      <c r="V34" s="132" t="str">
        <f t="shared" si="1"/>
        <v/>
      </c>
      <c r="W34" s="132"/>
      <c r="X34" s="121"/>
      <c r="Y34" s="132"/>
      <c r="Z34" s="132"/>
      <c r="AA34" s="132"/>
      <c r="AB34" s="125"/>
      <c r="AC34" s="146"/>
    </row>
    <row r="35" spans="1:29" ht="19.5" customHeight="1">
      <c r="A35" s="140"/>
      <c r="B35" s="141"/>
      <c r="C35" s="141"/>
      <c r="D35" s="141"/>
      <c r="E35" s="143" t="str">
        <f t="shared" ca="1" si="0"/>
        <v/>
      </c>
      <c r="F35" s="141"/>
      <c r="G35" s="141"/>
      <c r="H35" s="141"/>
      <c r="I35" s="121"/>
      <c r="J35" s="121"/>
      <c r="K35" s="121"/>
      <c r="L35" s="121"/>
      <c r="M35" s="121"/>
      <c r="N35" s="121"/>
      <c r="O35" s="121"/>
      <c r="P35" s="133"/>
      <c r="Q35" s="121"/>
      <c r="R35" s="133"/>
      <c r="S35" s="121"/>
      <c r="T35" s="121"/>
      <c r="U35" s="121"/>
      <c r="V35" s="132" t="str">
        <f t="shared" si="1"/>
        <v/>
      </c>
      <c r="W35" s="132"/>
      <c r="X35" s="121"/>
      <c r="Y35" s="132"/>
      <c r="Z35" s="132"/>
      <c r="AA35" s="132"/>
      <c r="AB35" s="125"/>
      <c r="AC35" s="146"/>
    </row>
    <row r="36" spans="1:29" ht="19.5" customHeight="1">
      <c r="A36" s="140"/>
      <c r="B36" s="141"/>
      <c r="C36" s="141"/>
      <c r="D36" s="141"/>
      <c r="E36" s="143" t="str">
        <f t="shared" ca="1" si="0"/>
        <v/>
      </c>
      <c r="F36" s="141"/>
      <c r="G36" s="141"/>
      <c r="H36" s="141"/>
      <c r="I36" s="121"/>
      <c r="J36" s="121"/>
      <c r="K36" s="121"/>
      <c r="L36" s="121"/>
      <c r="M36" s="121"/>
      <c r="N36" s="121"/>
      <c r="O36" s="121"/>
      <c r="P36" s="133"/>
      <c r="Q36" s="121"/>
      <c r="R36" s="133"/>
      <c r="S36" s="121"/>
      <c r="T36" s="121"/>
      <c r="U36" s="121"/>
      <c r="V36" s="132" t="str">
        <f t="shared" si="1"/>
        <v/>
      </c>
      <c r="W36" s="132"/>
      <c r="X36" s="121"/>
      <c r="Y36" s="132"/>
      <c r="Z36" s="132"/>
      <c r="AA36" s="132"/>
      <c r="AB36" s="125"/>
      <c r="AC36" s="146"/>
    </row>
    <row r="37" spans="1:29" ht="15" customHeight="1">
      <c r="A37" s="121"/>
      <c r="B37" s="121"/>
      <c r="C37" s="121"/>
      <c r="D37" s="121"/>
      <c r="E37" s="132" t="str">
        <f t="shared" ref="E37:E68" ca="1" si="2">IF(C37="","",IF(D37="",INT(TODAY())-INT(C37),MAX(0,INT(D37)-INT(C37))))</f>
        <v/>
      </c>
      <c r="F37" s="121"/>
      <c r="G37" s="121"/>
      <c r="H37" s="121"/>
      <c r="I37" s="121"/>
      <c r="J37" s="121"/>
      <c r="K37" s="121"/>
      <c r="L37" s="121"/>
      <c r="M37" s="121"/>
      <c r="N37" s="121"/>
      <c r="O37" s="121"/>
      <c r="P37" s="133"/>
      <c r="Q37" s="121"/>
      <c r="R37" s="133"/>
      <c r="S37" s="121"/>
      <c r="T37" s="121"/>
      <c r="U37" s="121"/>
      <c r="V37" s="132" t="str">
        <f t="shared" ref="V37:V60" si="3">IFERROR(IF(SUM($Q37,$R37,$S37,$T37,$U37)&gt;0,SUM($Q37,$R37,$S37,$T37,$U37),""),"")</f>
        <v/>
      </c>
      <c r="W37" s="132"/>
      <c r="X37" s="121"/>
      <c r="Y37" s="132"/>
      <c r="Z37" s="132"/>
      <c r="AA37" s="132"/>
      <c r="AB37" s="125"/>
      <c r="AC37" s="146"/>
    </row>
    <row r="38" spans="1:29" ht="15" customHeight="1">
      <c r="A38" s="121"/>
      <c r="B38" s="121"/>
      <c r="C38" s="121"/>
      <c r="D38" s="121"/>
      <c r="E38" s="132" t="str">
        <f t="shared" ca="1" si="2"/>
        <v/>
      </c>
      <c r="F38" s="121"/>
      <c r="G38" s="121"/>
      <c r="H38" s="121"/>
      <c r="I38" s="121"/>
      <c r="J38" s="121"/>
      <c r="K38" s="121"/>
      <c r="L38" s="121"/>
      <c r="M38" s="121"/>
      <c r="N38" s="121"/>
      <c r="O38" s="121"/>
      <c r="P38" s="133"/>
      <c r="Q38" s="121"/>
      <c r="R38" s="133"/>
      <c r="S38" s="121"/>
      <c r="T38" s="121"/>
      <c r="U38" s="121"/>
      <c r="V38" s="132" t="str">
        <f t="shared" si="3"/>
        <v/>
      </c>
      <c r="W38" s="132"/>
      <c r="X38" s="121"/>
      <c r="Y38" s="132"/>
      <c r="Z38" s="132"/>
      <c r="AA38" s="132"/>
      <c r="AB38" s="125"/>
      <c r="AC38" s="146"/>
    </row>
    <row r="39" spans="1:29" ht="15" customHeight="1">
      <c r="A39" s="121"/>
      <c r="B39" s="121"/>
      <c r="C39" s="121"/>
      <c r="D39" s="121"/>
      <c r="E39" s="132" t="str">
        <f t="shared" ca="1" si="2"/>
        <v/>
      </c>
      <c r="F39" s="121"/>
      <c r="G39" s="121"/>
      <c r="H39" s="121"/>
      <c r="I39" s="121"/>
      <c r="J39" s="121"/>
      <c r="K39" s="121"/>
      <c r="L39" s="121"/>
      <c r="M39" s="121"/>
      <c r="N39" s="121"/>
      <c r="O39" s="121"/>
      <c r="P39" s="133"/>
      <c r="Q39" s="121"/>
      <c r="R39" s="133"/>
      <c r="S39" s="121"/>
      <c r="T39" s="121"/>
      <c r="U39" s="121"/>
      <c r="V39" s="132" t="str">
        <f t="shared" si="3"/>
        <v/>
      </c>
      <c r="W39" s="132"/>
      <c r="X39" s="121"/>
      <c r="Y39" s="132"/>
      <c r="Z39" s="132"/>
      <c r="AA39" s="132"/>
      <c r="AB39" s="125"/>
      <c r="AC39" s="146"/>
    </row>
    <row r="40" spans="1:29" ht="15" customHeight="1">
      <c r="A40" s="121"/>
      <c r="B40" s="121"/>
      <c r="C40" s="121"/>
      <c r="D40" s="121"/>
      <c r="E40" s="132" t="str">
        <f t="shared" ca="1" si="2"/>
        <v/>
      </c>
      <c r="F40" s="121"/>
      <c r="G40" s="121"/>
      <c r="H40" s="121"/>
      <c r="I40" s="121"/>
      <c r="J40" s="121"/>
      <c r="K40" s="121"/>
      <c r="L40" s="121"/>
      <c r="M40" s="121"/>
      <c r="N40" s="121"/>
      <c r="O40" s="121"/>
      <c r="P40" s="133"/>
      <c r="Q40" s="121"/>
      <c r="R40" s="133"/>
      <c r="S40" s="121"/>
      <c r="T40" s="121"/>
      <c r="U40" s="121"/>
      <c r="V40" s="132" t="str">
        <f t="shared" si="3"/>
        <v/>
      </c>
      <c r="W40" s="132"/>
      <c r="X40" s="121"/>
      <c r="Y40" s="132"/>
      <c r="Z40" s="132"/>
      <c r="AA40" s="132"/>
      <c r="AB40" s="125"/>
      <c r="AC40" s="146"/>
    </row>
    <row r="41" spans="1:29" ht="15" customHeight="1">
      <c r="A41" s="121"/>
      <c r="B41" s="121"/>
      <c r="C41" s="121"/>
      <c r="D41" s="121"/>
      <c r="E41" s="132" t="str">
        <f t="shared" ca="1" si="2"/>
        <v/>
      </c>
      <c r="F41" s="121"/>
      <c r="G41" s="121"/>
      <c r="H41" s="121"/>
      <c r="I41" s="121"/>
      <c r="J41" s="121"/>
      <c r="K41" s="121"/>
      <c r="L41" s="121"/>
      <c r="M41" s="121"/>
      <c r="N41" s="121"/>
      <c r="O41" s="121"/>
      <c r="P41" s="133"/>
      <c r="Q41" s="121"/>
      <c r="R41" s="133"/>
      <c r="S41" s="121"/>
      <c r="T41" s="121"/>
      <c r="U41" s="121"/>
      <c r="V41" s="132" t="str">
        <f t="shared" si="3"/>
        <v/>
      </c>
      <c r="W41" s="132"/>
      <c r="X41" s="121"/>
      <c r="Y41" s="132"/>
      <c r="Z41" s="132"/>
      <c r="AA41" s="132"/>
      <c r="AB41" s="125"/>
      <c r="AC41" s="146"/>
    </row>
    <row r="42" spans="1:29" ht="15" customHeight="1">
      <c r="A42" s="121"/>
      <c r="B42" s="121"/>
      <c r="C42" s="121"/>
      <c r="D42" s="121"/>
      <c r="E42" s="132" t="str">
        <f t="shared" ca="1" si="2"/>
        <v/>
      </c>
      <c r="F42" s="121"/>
      <c r="G42" s="121"/>
      <c r="H42" s="121"/>
      <c r="I42" s="121"/>
      <c r="J42" s="121"/>
      <c r="K42" s="121"/>
      <c r="L42" s="121"/>
      <c r="M42" s="121"/>
      <c r="N42" s="121"/>
      <c r="O42" s="121"/>
      <c r="P42" s="133"/>
      <c r="Q42" s="121"/>
      <c r="R42" s="133"/>
      <c r="S42" s="121"/>
      <c r="T42" s="121"/>
      <c r="U42" s="121"/>
      <c r="V42" s="132" t="str">
        <f t="shared" si="3"/>
        <v/>
      </c>
      <c r="W42" s="132"/>
      <c r="X42" s="121"/>
      <c r="Y42" s="132"/>
      <c r="Z42" s="132"/>
      <c r="AA42" s="132"/>
      <c r="AB42" s="125"/>
      <c r="AC42" s="146"/>
    </row>
    <row r="43" spans="1:29" ht="15" customHeight="1">
      <c r="A43" s="121"/>
      <c r="B43" s="121"/>
      <c r="C43" s="121"/>
      <c r="D43" s="121"/>
      <c r="E43" s="132" t="str">
        <f t="shared" ca="1" si="2"/>
        <v/>
      </c>
      <c r="F43" s="121"/>
      <c r="G43" s="121"/>
      <c r="H43" s="121"/>
      <c r="I43" s="121"/>
      <c r="J43" s="121"/>
      <c r="K43" s="121"/>
      <c r="L43" s="121"/>
      <c r="M43" s="121"/>
      <c r="N43" s="121"/>
      <c r="O43" s="121"/>
      <c r="P43" s="133"/>
      <c r="Q43" s="121"/>
      <c r="R43" s="133"/>
      <c r="S43" s="121"/>
      <c r="T43" s="121"/>
      <c r="U43" s="121"/>
      <c r="V43" s="132" t="str">
        <f t="shared" si="3"/>
        <v/>
      </c>
      <c r="W43" s="132"/>
      <c r="X43" s="121"/>
      <c r="Y43" s="132"/>
      <c r="Z43" s="132"/>
      <c r="AA43" s="132"/>
      <c r="AB43" s="125"/>
      <c r="AC43" s="146"/>
    </row>
    <row r="44" spans="1:29" ht="15" customHeight="1">
      <c r="A44" s="121"/>
      <c r="B44" s="121"/>
      <c r="C44" s="121"/>
      <c r="D44" s="121"/>
      <c r="E44" s="132" t="str">
        <f t="shared" ca="1" si="2"/>
        <v/>
      </c>
      <c r="F44" s="121"/>
      <c r="G44" s="121"/>
      <c r="H44" s="121"/>
      <c r="I44" s="121"/>
      <c r="J44" s="121"/>
      <c r="K44" s="121"/>
      <c r="L44" s="121"/>
      <c r="M44" s="121"/>
      <c r="N44" s="121"/>
      <c r="O44" s="121"/>
      <c r="P44" s="133"/>
      <c r="Q44" s="121"/>
      <c r="R44" s="133"/>
      <c r="S44" s="121"/>
      <c r="T44" s="121"/>
      <c r="U44" s="121"/>
      <c r="V44" s="132" t="str">
        <f t="shared" si="3"/>
        <v/>
      </c>
      <c r="W44" s="132"/>
      <c r="X44" s="121"/>
      <c r="Y44" s="132"/>
      <c r="Z44" s="132"/>
      <c r="AA44" s="132"/>
      <c r="AB44" s="125"/>
      <c r="AC44" s="146"/>
    </row>
    <row r="45" spans="1:29" ht="15" customHeight="1">
      <c r="A45" s="121"/>
      <c r="B45" s="121"/>
      <c r="C45" s="121"/>
      <c r="D45" s="121"/>
      <c r="E45" s="132" t="str">
        <f t="shared" ca="1" si="2"/>
        <v/>
      </c>
      <c r="F45" s="121"/>
      <c r="G45" s="121"/>
      <c r="H45" s="121"/>
      <c r="I45" s="121"/>
      <c r="J45" s="121"/>
      <c r="K45" s="121"/>
      <c r="L45" s="121"/>
      <c r="M45" s="121"/>
      <c r="N45" s="121"/>
      <c r="O45" s="121"/>
      <c r="P45" s="133"/>
      <c r="Q45" s="121"/>
      <c r="R45" s="133"/>
      <c r="S45" s="121"/>
      <c r="T45" s="121"/>
      <c r="U45" s="121"/>
      <c r="V45" s="132" t="str">
        <f t="shared" si="3"/>
        <v/>
      </c>
      <c r="W45" s="132"/>
      <c r="X45" s="121"/>
      <c r="Y45" s="132"/>
      <c r="Z45" s="132"/>
      <c r="AA45" s="132"/>
      <c r="AB45" s="125"/>
      <c r="AC45" s="146"/>
    </row>
    <row r="46" spans="1:29" ht="15" customHeight="1">
      <c r="A46" s="121"/>
      <c r="B46" s="121"/>
      <c r="C46" s="121"/>
      <c r="D46" s="121"/>
      <c r="E46" s="132" t="str">
        <f t="shared" ca="1" si="2"/>
        <v/>
      </c>
      <c r="F46" s="121"/>
      <c r="G46" s="121"/>
      <c r="H46" s="121"/>
      <c r="I46" s="121"/>
      <c r="J46" s="121"/>
      <c r="K46" s="121"/>
      <c r="L46" s="121"/>
      <c r="M46" s="121"/>
      <c r="N46" s="121"/>
      <c r="O46" s="121"/>
      <c r="P46" s="133"/>
      <c r="Q46" s="121"/>
      <c r="R46" s="133"/>
      <c r="S46" s="121"/>
      <c r="T46" s="121"/>
      <c r="U46" s="121"/>
      <c r="V46" s="132" t="str">
        <f t="shared" si="3"/>
        <v/>
      </c>
      <c r="W46" s="132"/>
      <c r="X46" s="121"/>
      <c r="Y46" s="132"/>
      <c r="Z46" s="132"/>
      <c r="AA46" s="132"/>
      <c r="AB46" s="125"/>
      <c r="AC46" s="146"/>
    </row>
    <row r="47" spans="1:29" ht="15" customHeight="1">
      <c r="A47" s="121"/>
      <c r="B47" s="121"/>
      <c r="C47" s="121"/>
      <c r="D47" s="121"/>
      <c r="E47" s="132" t="str">
        <f t="shared" ca="1" si="2"/>
        <v/>
      </c>
      <c r="F47" s="121"/>
      <c r="G47" s="121"/>
      <c r="H47" s="121"/>
      <c r="I47" s="121"/>
      <c r="J47" s="121"/>
      <c r="K47" s="121"/>
      <c r="L47" s="121"/>
      <c r="M47" s="121"/>
      <c r="N47" s="121"/>
      <c r="O47" s="121"/>
      <c r="P47" s="133"/>
      <c r="Q47" s="121"/>
      <c r="R47" s="133"/>
      <c r="S47" s="121"/>
      <c r="T47" s="121"/>
      <c r="U47" s="121"/>
      <c r="V47" s="132" t="str">
        <f t="shared" si="3"/>
        <v/>
      </c>
      <c r="W47" s="132"/>
      <c r="X47" s="121"/>
      <c r="Y47" s="132"/>
      <c r="Z47" s="132"/>
      <c r="AA47" s="132"/>
      <c r="AB47" s="125"/>
      <c r="AC47" s="146"/>
    </row>
    <row r="48" spans="1:29" ht="15" customHeight="1">
      <c r="A48" s="121"/>
      <c r="B48" s="121"/>
      <c r="C48" s="121"/>
      <c r="D48" s="121"/>
      <c r="E48" s="132" t="str">
        <f t="shared" ca="1" si="2"/>
        <v/>
      </c>
      <c r="F48" s="121"/>
      <c r="G48" s="121"/>
      <c r="H48" s="121"/>
      <c r="I48" s="121"/>
      <c r="J48" s="121"/>
      <c r="K48" s="121"/>
      <c r="L48" s="121"/>
      <c r="M48" s="121"/>
      <c r="N48" s="121"/>
      <c r="O48" s="121"/>
      <c r="P48" s="133"/>
      <c r="Q48" s="121"/>
      <c r="R48" s="133"/>
      <c r="S48" s="121"/>
      <c r="T48" s="121"/>
      <c r="U48" s="121"/>
      <c r="V48" s="132" t="str">
        <f t="shared" si="3"/>
        <v/>
      </c>
      <c r="W48" s="132"/>
      <c r="X48" s="121"/>
      <c r="Y48" s="132"/>
      <c r="Z48" s="132"/>
      <c r="AA48" s="132"/>
      <c r="AB48" s="125"/>
      <c r="AC48" s="146"/>
    </row>
    <row r="49" spans="1:39" ht="15" customHeight="1">
      <c r="A49" s="121"/>
      <c r="B49" s="121"/>
      <c r="C49" s="121"/>
      <c r="D49" s="121"/>
      <c r="E49" s="132" t="str">
        <f t="shared" ca="1" si="2"/>
        <v/>
      </c>
      <c r="F49" s="121"/>
      <c r="G49" s="121"/>
      <c r="H49" s="121"/>
      <c r="I49" s="121"/>
      <c r="J49" s="121"/>
      <c r="K49" s="121"/>
      <c r="L49" s="121"/>
      <c r="M49" s="121"/>
      <c r="N49" s="121"/>
      <c r="O49" s="121"/>
      <c r="P49" s="133"/>
      <c r="Q49" s="121"/>
      <c r="R49" s="133"/>
      <c r="S49" s="121"/>
      <c r="T49" s="121"/>
      <c r="U49" s="121"/>
      <c r="V49" s="132" t="str">
        <f t="shared" si="3"/>
        <v/>
      </c>
      <c r="W49" s="132"/>
      <c r="X49" s="121"/>
      <c r="Y49" s="132"/>
      <c r="Z49" s="132"/>
      <c r="AA49" s="132"/>
      <c r="AB49" s="125"/>
      <c r="AC49" s="146"/>
    </row>
    <row r="50" spans="1:39" ht="15" customHeight="1">
      <c r="A50" s="121"/>
      <c r="B50" s="121"/>
      <c r="C50" s="121"/>
      <c r="D50" s="121"/>
      <c r="E50" s="132" t="str">
        <f t="shared" ca="1" si="2"/>
        <v/>
      </c>
      <c r="F50" s="121"/>
      <c r="G50" s="121"/>
      <c r="H50" s="121"/>
      <c r="I50" s="121"/>
      <c r="J50" s="121"/>
      <c r="K50" s="121"/>
      <c r="L50" s="121"/>
      <c r="M50" s="121"/>
      <c r="N50" s="121"/>
      <c r="O50" s="121"/>
      <c r="P50" s="133"/>
      <c r="Q50" s="121"/>
      <c r="R50" s="133"/>
      <c r="S50" s="121"/>
      <c r="T50" s="121"/>
      <c r="U50" s="121"/>
      <c r="V50" s="132" t="str">
        <f t="shared" si="3"/>
        <v/>
      </c>
      <c r="W50" s="132"/>
      <c r="X50" s="121"/>
      <c r="Y50" s="132"/>
      <c r="Z50" s="132"/>
      <c r="AA50" s="132"/>
      <c r="AB50" s="125"/>
      <c r="AC50" s="146"/>
    </row>
    <row r="51" spans="1:39" ht="15" customHeight="1">
      <c r="A51" s="121"/>
      <c r="B51" s="121"/>
      <c r="C51" s="121"/>
      <c r="D51" s="121"/>
      <c r="E51" s="132" t="str">
        <f t="shared" ca="1" si="2"/>
        <v/>
      </c>
      <c r="F51" s="121"/>
      <c r="G51" s="121"/>
      <c r="H51" s="121"/>
      <c r="I51" s="121"/>
      <c r="J51" s="121"/>
      <c r="K51" s="121"/>
      <c r="L51" s="121"/>
      <c r="M51" s="121"/>
      <c r="N51" s="121"/>
      <c r="O51" s="121"/>
      <c r="P51" s="133"/>
      <c r="Q51" s="121"/>
      <c r="R51" s="133"/>
      <c r="S51" s="121"/>
      <c r="T51" s="121"/>
      <c r="U51" s="121"/>
      <c r="V51" s="132" t="str">
        <f t="shared" si="3"/>
        <v/>
      </c>
      <c r="W51" s="132"/>
      <c r="X51" s="121"/>
      <c r="Y51" s="132"/>
      <c r="Z51" s="132"/>
      <c r="AA51" s="132"/>
      <c r="AB51" s="125"/>
      <c r="AC51" s="146"/>
    </row>
    <row r="52" spans="1:39" ht="15" customHeight="1">
      <c r="A52" s="121"/>
      <c r="B52" s="121"/>
      <c r="C52" s="121"/>
      <c r="D52" s="121"/>
      <c r="E52" s="132" t="str">
        <f t="shared" ca="1" si="2"/>
        <v/>
      </c>
      <c r="F52" s="121"/>
      <c r="G52" s="121"/>
      <c r="H52" s="121"/>
      <c r="I52" s="121"/>
      <c r="J52" s="121"/>
      <c r="K52" s="121"/>
      <c r="L52" s="121"/>
      <c r="M52" s="121"/>
      <c r="N52" s="121"/>
      <c r="O52" s="121"/>
      <c r="P52" s="133"/>
      <c r="Q52" s="121"/>
      <c r="R52" s="133"/>
      <c r="S52" s="121"/>
      <c r="T52" s="121"/>
      <c r="U52" s="121"/>
      <c r="V52" s="132" t="str">
        <f t="shared" si="3"/>
        <v/>
      </c>
      <c r="W52" s="132"/>
      <c r="X52" s="121"/>
      <c r="Y52" s="132"/>
      <c r="Z52" s="132"/>
      <c r="AA52" s="132"/>
      <c r="AB52" s="125"/>
      <c r="AC52" s="146"/>
    </row>
    <row r="53" spans="1:39" ht="15" customHeight="1">
      <c r="A53" s="121"/>
      <c r="B53" s="121"/>
      <c r="C53" s="121"/>
      <c r="D53" s="121"/>
      <c r="E53" s="132" t="str">
        <f t="shared" ca="1" si="2"/>
        <v/>
      </c>
      <c r="F53" s="121"/>
      <c r="G53" s="121"/>
      <c r="H53" s="121"/>
      <c r="I53" s="121"/>
      <c r="J53" s="121"/>
      <c r="K53" s="121"/>
      <c r="L53" s="121"/>
      <c r="M53" s="121"/>
      <c r="N53" s="121"/>
      <c r="O53" s="121"/>
      <c r="P53" s="133"/>
      <c r="Q53" s="121"/>
      <c r="R53" s="133"/>
      <c r="S53" s="121"/>
      <c r="T53" s="121"/>
      <c r="U53" s="121"/>
      <c r="V53" s="132" t="str">
        <f t="shared" si="3"/>
        <v/>
      </c>
      <c r="W53" s="132"/>
      <c r="X53" s="121"/>
      <c r="Y53" s="132"/>
      <c r="Z53" s="132"/>
      <c r="AA53" s="132"/>
      <c r="AB53" s="125"/>
      <c r="AC53" s="146"/>
    </row>
    <row r="54" spans="1:39" ht="15" customHeight="1">
      <c r="A54" s="121"/>
      <c r="B54" s="121"/>
      <c r="C54" s="121"/>
      <c r="D54" s="121"/>
      <c r="E54" s="132" t="str">
        <f t="shared" ca="1" si="2"/>
        <v/>
      </c>
      <c r="F54" s="121"/>
      <c r="G54" s="121"/>
      <c r="H54" s="121"/>
      <c r="I54" s="121"/>
      <c r="J54" s="121"/>
      <c r="K54" s="121"/>
      <c r="L54" s="121"/>
      <c r="M54" s="121"/>
      <c r="N54" s="121"/>
      <c r="O54" s="121"/>
      <c r="P54" s="133"/>
      <c r="Q54" s="121"/>
      <c r="R54" s="133"/>
      <c r="S54" s="121"/>
      <c r="T54" s="121"/>
      <c r="U54" s="121"/>
      <c r="V54" s="132" t="str">
        <f t="shared" si="3"/>
        <v/>
      </c>
      <c r="W54" s="132"/>
      <c r="X54" s="121"/>
      <c r="Y54" s="132"/>
      <c r="Z54" s="132"/>
      <c r="AA54" s="132"/>
      <c r="AB54" s="125"/>
      <c r="AC54" s="146"/>
    </row>
    <row r="55" spans="1:39" ht="15" customHeight="1">
      <c r="A55" s="121"/>
      <c r="B55" s="121"/>
      <c r="C55" s="121"/>
      <c r="D55" s="121"/>
      <c r="E55" s="132" t="str">
        <f t="shared" ca="1" si="2"/>
        <v/>
      </c>
      <c r="F55" s="121"/>
      <c r="G55" s="121"/>
      <c r="H55" s="121"/>
      <c r="I55" s="121"/>
      <c r="J55" s="121"/>
      <c r="K55" s="121"/>
      <c r="L55" s="121"/>
      <c r="M55" s="121"/>
      <c r="N55" s="121"/>
      <c r="O55" s="121"/>
      <c r="P55" s="133"/>
      <c r="Q55" s="121"/>
      <c r="R55" s="133"/>
      <c r="S55" s="121"/>
      <c r="T55" s="121"/>
      <c r="U55" s="121"/>
      <c r="V55" s="132" t="str">
        <f t="shared" si="3"/>
        <v/>
      </c>
      <c r="W55" s="132"/>
      <c r="X55" s="121"/>
      <c r="Y55" s="132"/>
      <c r="Z55" s="132"/>
      <c r="AA55" s="132"/>
      <c r="AB55" s="125"/>
      <c r="AC55" s="146"/>
    </row>
    <row r="56" spans="1:39" ht="15" customHeight="1">
      <c r="A56" s="121"/>
      <c r="B56" s="121"/>
      <c r="C56" s="121"/>
      <c r="D56" s="121"/>
      <c r="E56" s="132" t="str">
        <f t="shared" ca="1" si="2"/>
        <v/>
      </c>
      <c r="F56" s="121"/>
      <c r="G56" s="121"/>
      <c r="H56" s="121"/>
      <c r="I56" s="121"/>
      <c r="J56" s="121"/>
      <c r="K56" s="121"/>
      <c r="L56" s="121"/>
      <c r="M56" s="121"/>
      <c r="N56" s="121"/>
      <c r="O56" s="121"/>
      <c r="P56" s="133"/>
      <c r="Q56" s="121"/>
      <c r="R56" s="133"/>
      <c r="S56" s="121"/>
      <c r="T56" s="121"/>
      <c r="U56" s="121"/>
      <c r="V56" s="132" t="str">
        <f t="shared" si="3"/>
        <v/>
      </c>
      <c r="W56" s="132"/>
      <c r="X56" s="121"/>
      <c r="Y56" s="132"/>
      <c r="Z56" s="132"/>
      <c r="AA56" s="132"/>
      <c r="AB56" s="125"/>
      <c r="AC56" s="146"/>
    </row>
    <row r="57" spans="1:39" ht="15" customHeight="1">
      <c r="A57" s="121"/>
      <c r="B57" s="121"/>
      <c r="C57" s="121"/>
      <c r="D57" s="121"/>
      <c r="E57" s="132" t="str">
        <f t="shared" ca="1" si="2"/>
        <v/>
      </c>
      <c r="F57" s="121"/>
      <c r="G57" s="121"/>
      <c r="H57" s="121"/>
      <c r="I57" s="121"/>
      <c r="J57" s="121"/>
      <c r="K57" s="121"/>
      <c r="L57" s="121"/>
      <c r="M57" s="121"/>
      <c r="N57" s="121"/>
      <c r="O57" s="121"/>
      <c r="P57" s="133"/>
      <c r="Q57" s="121"/>
      <c r="R57" s="133"/>
      <c r="S57" s="121"/>
      <c r="T57" s="121"/>
      <c r="U57" s="121"/>
      <c r="V57" s="132" t="str">
        <f t="shared" si="3"/>
        <v/>
      </c>
      <c r="W57" s="132"/>
      <c r="X57" s="121"/>
      <c r="Y57" s="132"/>
      <c r="Z57" s="132"/>
      <c r="AA57" s="132"/>
      <c r="AB57" s="125"/>
      <c r="AC57" s="146"/>
    </row>
    <row r="58" spans="1:39" ht="15" customHeight="1">
      <c r="A58" s="121"/>
      <c r="B58" s="121"/>
      <c r="C58" s="121"/>
      <c r="D58" s="121"/>
      <c r="E58" s="132" t="str">
        <f t="shared" ca="1" si="2"/>
        <v/>
      </c>
      <c r="F58" s="121"/>
      <c r="G58" s="121"/>
      <c r="H58" s="121"/>
      <c r="I58" s="121"/>
      <c r="J58" s="121"/>
      <c r="K58" s="121"/>
      <c r="L58" s="121"/>
      <c r="M58" s="121"/>
      <c r="N58" s="121"/>
      <c r="O58" s="121"/>
      <c r="P58" s="133"/>
      <c r="Q58" s="121"/>
      <c r="R58" s="133"/>
      <c r="S58" s="121"/>
      <c r="T58" s="121"/>
      <c r="U58" s="121"/>
      <c r="V58" s="132" t="str">
        <f t="shared" si="3"/>
        <v/>
      </c>
      <c r="W58" s="132"/>
      <c r="X58" s="121"/>
      <c r="Y58" s="132"/>
      <c r="Z58" s="132"/>
      <c r="AA58" s="132"/>
      <c r="AB58" s="125"/>
      <c r="AC58" s="146"/>
    </row>
    <row r="59" spans="1:39" ht="15" customHeight="1">
      <c r="A59" s="121"/>
      <c r="B59" s="121"/>
      <c r="C59" s="121"/>
      <c r="D59" s="121"/>
      <c r="E59" s="132" t="str">
        <f t="shared" ca="1" si="2"/>
        <v/>
      </c>
      <c r="F59" s="121"/>
      <c r="G59" s="121"/>
      <c r="H59" s="121"/>
      <c r="I59" s="121"/>
      <c r="J59" s="121"/>
      <c r="K59" s="121"/>
      <c r="L59" s="121"/>
      <c r="M59" s="121"/>
      <c r="N59" s="121"/>
      <c r="O59" s="121"/>
      <c r="P59" s="133"/>
      <c r="Q59" s="121"/>
      <c r="R59" s="133"/>
      <c r="S59" s="121"/>
      <c r="T59" s="121"/>
      <c r="U59" s="121"/>
      <c r="V59" s="132" t="str">
        <f t="shared" si="3"/>
        <v/>
      </c>
      <c r="W59" s="132"/>
      <c r="X59" s="121"/>
      <c r="Y59" s="132"/>
      <c r="Z59" s="132"/>
      <c r="AA59" s="132"/>
      <c r="AB59" s="125"/>
      <c r="AC59" s="146"/>
    </row>
    <row r="60" spans="1:39" ht="15" customHeight="1">
      <c r="A60" s="121"/>
      <c r="B60" s="121"/>
      <c r="C60" s="121"/>
      <c r="D60" s="121"/>
      <c r="E60" s="132" t="str">
        <f t="shared" ca="1" si="2"/>
        <v/>
      </c>
      <c r="F60" s="121"/>
      <c r="G60" s="121"/>
      <c r="H60" s="121"/>
      <c r="I60" s="121"/>
      <c r="J60" s="121"/>
      <c r="K60" s="121"/>
      <c r="L60" s="121"/>
      <c r="M60" s="121"/>
      <c r="N60" s="121"/>
      <c r="O60" s="121"/>
      <c r="P60" s="133"/>
      <c r="Q60" s="121"/>
      <c r="R60" s="133"/>
      <c r="S60" s="121"/>
      <c r="T60" s="121"/>
      <c r="U60" s="121"/>
      <c r="V60" s="132" t="str">
        <f t="shared" si="3"/>
        <v/>
      </c>
      <c r="W60" s="132"/>
      <c r="X60" s="121"/>
      <c r="Y60" s="132"/>
      <c r="Z60" s="132"/>
      <c r="AA60" s="132"/>
      <c r="AB60" s="125"/>
      <c r="AC60" s="146"/>
    </row>
    <row r="61" spans="1:39" ht="15" hidden="1"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ht="15" hidden="1"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row>
    <row r="63" spans="1:39" ht="19.5" hidden="1" customHeight="1">
      <c r="A63" s="1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row>
    <row r="64" spans="1:39" ht="34.5" hidden="1" customHeight="1">
      <c r="A64" s="22"/>
      <c r="B64" s="22"/>
      <c r="C64" s="22"/>
      <c r="D64" s="22"/>
      <c r="E64" s="22"/>
      <c r="F64" s="22"/>
      <c r="G64" s="22"/>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row>
    <row r="65" spans="1:39" ht="15" hidden="1" customHeight="1">
      <c r="A65" s="29"/>
      <c r="B65" s="19"/>
      <c r="C65" s="19"/>
      <c r="D65" s="27"/>
      <c r="E65" s="27"/>
      <c r="F65" s="27"/>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row>
    <row r="66" spans="1:39" ht="15" hidden="1" customHeight="1">
      <c r="A66" s="29"/>
      <c r="B66" s="19"/>
      <c r="C66" s="19"/>
      <c r="D66" s="27"/>
      <c r="E66" s="27"/>
      <c r="F66" s="27"/>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row>
    <row r="67" spans="1:39" ht="15" hidden="1" customHeight="1">
      <c r="A67" s="29"/>
      <c r="B67" s="19"/>
      <c r="C67" s="19"/>
      <c r="D67" s="27"/>
      <c r="E67" s="27"/>
      <c r="F67" s="27"/>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row>
    <row r="68" spans="1:39" ht="15" hidden="1" customHeight="1">
      <c r="A68" s="29"/>
      <c r="B68" s="19"/>
      <c r="C68" s="19"/>
      <c r="D68" s="27"/>
      <c r="E68" s="27"/>
      <c r="F68" s="27"/>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row>
    <row r="69" spans="1:39" ht="15" hidden="1" customHeight="1">
      <c r="A69" s="29"/>
      <c r="B69" s="19"/>
      <c r="C69" s="19"/>
      <c r="D69" s="27"/>
      <c r="E69" s="27"/>
      <c r="F69" s="27"/>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row>
    <row r="70" spans="1:39" ht="19.5" hidden="1" customHeight="1">
      <c r="A70" s="144"/>
      <c r="B70" s="29"/>
      <c r="C70" s="29"/>
      <c r="D70" s="14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row>
    <row r="71" spans="1:39" ht="15" hidden="1"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row>
    <row r="72" spans="1:39" ht="15" hidden="1"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row>
    <row r="73" spans="1:39" ht="15" hidden="1"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row>
    <row r="74" spans="1:39" ht="15" hidden="1"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row>
    <row r="75" spans="1:39" ht="15" hidden="1"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row>
    <row r="76" spans="1:39" ht="15" hidden="1" customHeight="1"/>
    <row r="77" spans="1:39" ht="15" hidden="1" customHeight="1"/>
    <row r="78" spans="1:39" ht="15" hidden="1" customHeight="1"/>
    <row r="79" spans="1:39" ht="15" hidden="1" customHeight="1"/>
    <row r="80" spans="1:39"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sheetData>
  <mergeCells count="4">
    <mergeCell ref="A1:Z1"/>
    <mergeCell ref="A2:E2"/>
    <mergeCell ref="G2:J2"/>
    <mergeCell ref="A3:Z3"/>
  </mergeCells>
  <conditionalFormatting sqref="B5:B60">
    <cfRule type="expression" dxfId="2" priority="2">
      <formula>AND($B5&lt;&gt;"",COUNTIF(DO_NOT_READMIT,$B5)&gt;0)</formula>
    </cfRule>
  </conditionalFormatting>
  <conditionalFormatting sqref="M5:M60">
    <cfRule type="expression" dxfId="1" priority="3">
      <formula>COUNTIF(NON_CONTRACTED,$M5)&gt;0</formula>
    </cfRule>
  </conditionalFormatting>
  <conditionalFormatting sqref="AC5:AC60">
    <cfRule type="expression" dxfId="0" priority="4">
      <formula>AND($J5="Ahbra",$AC5="")</formula>
    </cfRule>
  </conditionalFormatting>
  <dataValidations count="9">
    <dataValidation type="list" allowBlank="1" sqref="G5:G60" xr:uid="{00000000-0002-0000-1600-000000000000}">
      <formula1>FACILITY</formula1>
      <formula2>0</formula2>
    </dataValidation>
    <dataValidation type="list" allowBlank="1" sqref="H5:I60" xr:uid="{00000000-0002-0000-1600-000001000000}">
      <formula1>LOC</formula1>
      <formula2>0</formula2>
    </dataValidation>
    <dataValidation type="list" allowBlank="1" sqref="J5:J60" xr:uid="{00000000-0002-0000-1600-000002000000}">
      <formula1>ACTIVE_REPS</formula1>
      <formula2>0</formula2>
    </dataValidation>
    <dataValidation type="list" allowBlank="1" sqref="K5:K60" xr:uid="{00000000-0002-0000-1600-000003000000}">
      <formula1>REF_CAT</formula1>
      <formula2>0</formula2>
    </dataValidation>
    <dataValidation type="list" allowBlank="1" sqref="M5:M60" xr:uid="{00000000-0002-0000-1600-000004000000}">
      <formula1>INSURANCE_OK</formula1>
      <formula2>0</formula2>
    </dataValidation>
    <dataValidation type="list" allowBlank="1" sqref="N5:N60" xr:uid="{00000000-0002-0000-1600-000005000000}">
      <formula1>INS_TYPE</formula1>
      <formula2>0</formula2>
    </dataValidation>
    <dataValidation type="list" allowBlank="1" sqref="AB5:AB60" xr:uid="{00000000-0002-0000-1600-000006000000}">
      <formula1>"New,Alumni,Split"</formula1>
      <formula2>0</formula2>
    </dataValidation>
    <dataValidation type="list" allowBlank="1" showErrorMessage="1" error="Pick the closer: Amy, Nelson or Matthew" sqref="AC5:AC60" xr:uid="{00000000-0002-0000-1600-000007000000}">
      <formula1>CLOSERS</formula1>
      <formula2>0</formula2>
    </dataValidation>
    <dataValidation type="list" allowBlank="1" sqref="F5:F60" xr:uid="{00000000-0002-0000-1600-000008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0:AN235"/>
  <sheetViews>
    <sheetView showGridLines="0" zoomScale="140" zoomScaleNormal="140" workbookViewId="0"/>
  </sheetViews>
  <sheetFormatPr defaultColWidth="0" defaultRowHeight="15"/>
  <cols>
    <col min="1" max="40" width="8.7109375" customWidth="1"/>
    <col min="41" max="16384" width="13" hidden="1"/>
  </cols>
  <sheetData>
    <row r="10" spans="28:40" ht="15" customHeight="1">
      <c r="AB10" t="str">
        <f ca="1">IF(AND('🛏 HP Bed Board'!B10="Occupied",'🛏 HP Bed Board'!H10&lt;&gt;"",'🛏 HP Bed Board'!H10&gt;=TODAY(),'🛏 HP Bed Board'!H10&lt;=TODAY()+7),1,"")</f>
        <v/>
      </c>
      <c r="AC10" t="str">
        <f t="shared" ref="AC10:AC35" ca="1" si="0">IF($AB10=1,SUMPRODUCT(($AB$10:$AB$35=1)*($AN$10:$AN$35&lt;$AN10))+SUMPRODUCT(($AB$10:$AB$35=1)*($AN$10:$AN$35=$AN10)*(ROW($AN$10:$AN$35)&lt;=ROW())),"")</f>
        <v/>
      </c>
      <c r="AD10" t="str">
        <f ca="1">IF($AB10=1,'🛏 HP Bed Board'!C10,"")</f>
        <v/>
      </c>
      <c r="AE10" t="str">
        <f t="shared" ref="AE10:AE23" ca="1" si="1">IF($AB10=1,"HP","")</f>
        <v/>
      </c>
      <c r="AF10" t="str">
        <f ca="1">IF($AB10=1,'🛏 HP Bed Board'!A10,"")</f>
        <v/>
      </c>
      <c r="AG10" t="str">
        <f ca="1">IF($AB10=1,TEXT('🛏 HP Bed Board'!D10,"M/D"),"")</f>
        <v/>
      </c>
      <c r="AH10" t="str">
        <f ca="1">IF($AB10=1,INT(TODAY()-INT('🛏 HP Bed Board'!D10)),"")</f>
        <v/>
      </c>
      <c r="AI10" t="str">
        <f ca="1">IF($AB10=1,TEXT('🛏 HP Bed Board'!H10,"M/D"),"")</f>
        <v/>
      </c>
      <c r="AJ10" t="str">
        <f ca="1">IF($AB10=1,INT('🛏 HP Bed Board'!H10-TODAY())&amp;"d","")</f>
        <v/>
      </c>
      <c r="AK10" t="str">
        <f ca="1">IF($AB10=1,'🛏 HP Bed Board'!M10,"")</f>
        <v/>
      </c>
      <c r="AL10" t="str">
        <f ca="1">IF($AB10=1,IF('🛏 HP Bed Board'!F10&lt;&gt;"",'🛏 HP Bed Board'!F10,'🛏 HP Bed Board'!E10),"")</f>
        <v/>
      </c>
      <c r="AM10" t="str">
        <f ca="1">IF($AB10=1,'🛏 HP Bed Board'!J10,"")</f>
        <v/>
      </c>
      <c r="AN10" t="str">
        <f ca="1">IF($AB10=1,'🛏 HP Bed Board'!D10,"")</f>
        <v/>
      </c>
    </row>
    <row r="11" spans="28:40" ht="15" customHeight="1">
      <c r="AB11" t="str">
        <f ca="1">IF(AND('🛏 HP Bed Board'!B11="Occupied",'🛏 HP Bed Board'!H11&lt;&gt;"",'🛏 HP Bed Board'!H11&gt;=TODAY(),'🛏 HP Bed Board'!H11&lt;=TODAY()+7),1,"")</f>
        <v/>
      </c>
      <c r="AC11" t="str">
        <f t="shared" ca="1" si="0"/>
        <v/>
      </c>
      <c r="AD11" t="str">
        <f ca="1">IF($AB11=1,'🛏 HP Bed Board'!C11,"")</f>
        <v/>
      </c>
      <c r="AE11" t="str">
        <f t="shared" ca="1" si="1"/>
        <v/>
      </c>
      <c r="AF11" t="str">
        <f ca="1">IF($AB11=1,'🛏 HP Bed Board'!A11,"")</f>
        <v/>
      </c>
      <c r="AG11" t="str">
        <f ca="1">IF($AB11=1,TEXT('🛏 HP Bed Board'!D11,"M/D"),"")</f>
        <v/>
      </c>
      <c r="AH11" t="str">
        <f ca="1">IF($AB11=1,INT(TODAY()-INT('🛏 HP Bed Board'!D11)),"")</f>
        <v/>
      </c>
      <c r="AI11" t="str">
        <f ca="1">IF($AB11=1,TEXT('🛏 HP Bed Board'!H11,"M/D"),"")</f>
        <v/>
      </c>
      <c r="AJ11" t="str">
        <f ca="1">IF($AB11=1,INT('🛏 HP Bed Board'!H11-TODAY())&amp;"d","")</f>
        <v/>
      </c>
      <c r="AK11" t="str">
        <f ca="1">IF($AB11=1,'🛏 HP Bed Board'!M11,"")</f>
        <v/>
      </c>
      <c r="AL11" t="str">
        <f ca="1">IF($AB11=1,IF('🛏 HP Bed Board'!F11&lt;&gt;"",'🛏 HP Bed Board'!F11,'🛏 HP Bed Board'!E11),"")</f>
        <v/>
      </c>
      <c r="AM11" t="str">
        <f ca="1">IF($AB11=1,'🛏 HP Bed Board'!J11,"")</f>
        <v/>
      </c>
      <c r="AN11" s="71" t="str">
        <f ca="1">IF($AB11=1,'🛏 HP Bed Board'!D11,"")</f>
        <v/>
      </c>
    </row>
    <row r="12" spans="28:40" ht="15" customHeight="1">
      <c r="AB12" t="str">
        <f ca="1">IF(AND('🛏 HP Bed Board'!B12="Occupied",'🛏 HP Bed Board'!H12&lt;&gt;"",'🛏 HP Bed Board'!H12&gt;=TODAY(),'🛏 HP Bed Board'!H12&lt;=TODAY()+7),1,"")</f>
        <v/>
      </c>
      <c r="AC12" t="str">
        <f t="shared" ca="1" si="0"/>
        <v/>
      </c>
      <c r="AD12" t="str">
        <f ca="1">IF($AB12=1,'🛏 HP Bed Board'!C12,"")</f>
        <v/>
      </c>
      <c r="AE12" t="str">
        <f t="shared" ca="1" si="1"/>
        <v/>
      </c>
      <c r="AF12" t="str">
        <f ca="1">IF($AB12=1,'🛏 HP Bed Board'!A12,"")</f>
        <v/>
      </c>
      <c r="AG12" t="str">
        <f ca="1">IF($AB12=1,TEXT('🛏 HP Bed Board'!D12,"M/D"),"")</f>
        <v/>
      </c>
      <c r="AH12" t="str">
        <f ca="1">IF($AB12=1,INT(TODAY()-INT('🛏 HP Bed Board'!D12)),"")</f>
        <v/>
      </c>
      <c r="AI12" t="str">
        <f ca="1">IF($AB12=1,TEXT('🛏 HP Bed Board'!H12,"M/D"),"")</f>
        <v/>
      </c>
      <c r="AJ12" t="str">
        <f ca="1">IF($AB12=1,INT('🛏 HP Bed Board'!H12-TODAY())&amp;"d","")</f>
        <v/>
      </c>
      <c r="AK12" t="str">
        <f ca="1">IF($AB12=1,'🛏 HP Bed Board'!M12,"")</f>
        <v/>
      </c>
      <c r="AL12" t="str">
        <f ca="1">IF($AB12=1,IF('🛏 HP Bed Board'!F12&lt;&gt;"",'🛏 HP Bed Board'!F12,'🛏 HP Bed Board'!E12),"")</f>
        <v/>
      </c>
      <c r="AM12" t="str">
        <f ca="1">IF($AB12=1,'🛏 HP Bed Board'!J12,"")</f>
        <v/>
      </c>
      <c r="AN12" s="71" t="str">
        <f ca="1">IF($AB12=1,'🛏 HP Bed Board'!D12,"")</f>
        <v/>
      </c>
    </row>
    <row r="13" spans="28:40" ht="15" customHeight="1">
      <c r="AB13" t="str">
        <f ca="1">IF(AND('🛏 HP Bed Board'!B13="Occupied",'🛏 HP Bed Board'!H13&lt;&gt;"",'🛏 HP Bed Board'!H13&gt;=TODAY(),'🛏 HP Bed Board'!H13&lt;=TODAY()+7),1,"")</f>
        <v/>
      </c>
      <c r="AC13" t="str">
        <f t="shared" ca="1" si="0"/>
        <v/>
      </c>
      <c r="AD13" t="str">
        <f ca="1">IF($AB13=1,'🛏 HP Bed Board'!C13,"")</f>
        <v/>
      </c>
      <c r="AE13" t="str">
        <f t="shared" ca="1" si="1"/>
        <v/>
      </c>
      <c r="AF13" t="str">
        <f ca="1">IF($AB13=1,'🛏 HP Bed Board'!A13,"")</f>
        <v/>
      </c>
      <c r="AG13" t="str">
        <f ca="1">IF($AB13=1,TEXT('🛏 HP Bed Board'!D13,"M/D"),"")</f>
        <v/>
      </c>
      <c r="AH13" t="str">
        <f ca="1">IF($AB13=1,INT(TODAY()-INT('🛏 HP Bed Board'!D13)),"")</f>
        <v/>
      </c>
      <c r="AI13" t="str">
        <f ca="1">IF($AB13=1,TEXT('🛏 HP Bed Board'!H13,"M/D"),"")</f>
        <v/>
      </c>
      <c r="AJ13" t="str">
        <f ca="1">IF($AB13=1,INT('🛏 HP Bed Board'!H13-TODAY())&amp;"d","")</f>
        <v/>
      </c>
      <c r="AK13" t="str">
        <f ca="1">IF($AB13=1,'🛏 HP Bed Board'!M13,"")</f>
        <v/>
      </c>
      <c r="AL13" t="str">
        <f ca="1">IF($AB13=1,IF('🛏 HP Bed Board'!F13&lt;&gt;"",'🛏 HP Bed Board'!F13,'🛏 HP Bed Board'!E13),"")</f>
        <v/>
      </c>
      <c r="AM13" t="str">
        <f ca="1">IF($AB13=1,'🛏 HP Bed Board'!J13,"")</f>
        <v/>
      </c>
      <c r="AN13" s="71" t="str">
        <f ca="1">IF($AB13=1,'🛏 HP Bed Board'!D13,"")</f>
        <v/>
      </c>
    </row>
    <row r="14" spans="28:40" ht="15" customHeight="1">
      <c r="AB14" t="str">
        <f ca="1">IF(AND('🛏 HP Bed Board'!B14="Occupied",'🛏 HP Bed Board'!H14&lt;&gt;"",'🛏 HP Bed Board'!H14&gt;=TODAY(),'🛏 HP Bed Board'!H14&lt;=TODAY()+7),1,"")</f>
        <v/>
      </c>
      <c r="AC14" t="str">
        <f t="shared" ca="1" si="0"/>
        <v/>
      </c>
      <c r="AD14" t="str">
        <f ca="1">IF($AB14=1,'🛏 HP Bed Board'!C14,"")</f>
        <v/>
      </c>
      <c r="AE14" t="str">
        <f t="shared" ca="1" si="1"/>
        <v/>
      </c>
      <c r="AF14" t="str">
        <f ca="1">IF($AB14=1,'🛏 HP Bed Board'!A14,"")</f>
        <v/>
      </c>
      <c r="AG14" t="str">
        <f ca="1">IF($AB14=1,TEXT('🛏 HP Bed Board'!D14,"M/D"),"")</f>
        <v/>
      </c>
      <c r="AH14" t="str">
        <f ca="1">IF($AB14=1,INT(TODAY()-INT('🛏 HP Bed Board'!D14)),"")</f>
        <v/>
      </c>
      <c r="AI14" t="str">
        <f ca="1">IF($AB14=1,TEXT('🛏 HP Bed Board'!H14,"M/D"),"")</f>
        <v/>
      </c>
      <c r="AJ14" t="str">
        <f ca="1">IF($AB14=1,INT('🛏 HP Bed Board'!H14-TODAY())&amp;"d","")</f>
        <v/>
      </c>
      <c r="AK14" t="str">
        <f ca="1">IF($AB14=1,'🛏 HP Bed Board'!M14,"")</f>
        <v/>
      </c>
      <c r="AL14" t="str">
        <f ca="1">IF($AB14=1,IF('🛏 HP Bed Board'!F14&lt;&gt;"",'🛏 HP Bed Board'!F14,'🛏 HP Bed Board'!E14),"")</f>
        <v/>
      </c>
      <c r="AM14" t="str">
        <f ca="1">IF($AB14=1,'🛏 HP Bed Board'!J14,"")</f>
        <v/>
      </c>
      <c r="AN14" s="71" t="str">
        <f ca="1">IF($AB14=1,'🛏 HP Bed Board'!D14,"")</f>
        <v/>
      </c>
    </row>
    <row r="15" spans="28:40" ht="15" customHeight="1">
      <c r="AB15">
        <f ca="1">IF(AND('🛏 HP Bed Board'!B15="Occupied",'🛏 HP Bed Board'!H15&lt;&gt;"",'🛏 HP Bed Board'!H15&gt;=TODAY(),'🛏 HP Bed Board'!H15&lt;=TODAY()+7),1,"")</f>
        <v>1</v>
      </c>
      <c r="AC15">
        <f t="shared" ca="1" si="0"/>
        <v>2</v>
      </c>
      <c r="AD15" t="str">
        <f ca="1">IF($AB15=1,'🛏 HP Bed Board'!C15,"")</f>
        <v>Darian Loehner</v>
      </c>
      <c r="AE15" t="str">
        <f t="shared" ca="1" si="1"/>
        <v>HP</v>
      </c>
      <c r="AF15" t="str">
        <f ca="1">IF($AB15=1,'🛏 HP Bed Board'!A15,"")</f>
        <v>M2-B</v>
      </c>
      <c r="AG15" t="str">
        <f ca="1">IF($AB15=1,TEXT('🛏 HP Bed Board'!D15,"M/D"),"")</f>
        <v>6/10</v>
      </c>
      <c r="AH15">
        <f ca="1">IF($AB15=1,INT(TODAY()-INT('🛏 HP Bed Board'!D15)),"")</f>
        <v>7</v>
      </c>
      <c r="AI15" t="str">
        <f ca="1">IF($AB15=1,TEXT('🛏 HP Bed Board'!H15,"M/D"),"")</f>
        <v>6/20</v>
      </c>
      <c r="AJ15" t="str">
        <f ca="1">IF($AB15=1,INT('🛏 HP Bed Board'!H15-TODAY())&amp;"d","")</f>
        <v>3d</v>
      </c>
      <c r="AK15" t="str">
        <f ca="1">IF($AB15=1,'🛏 HP Bed Board'!M15,"")</f>
        <v>Amy</v>
      </c>
      <c r="AL15" t="str">
        <f ca="1">IF($AB15=1,IF('🛏 HP Bed Board'!F15&lt;&gt;"",'🛏 HP Bed Board'!F15,'🛏 HP Bed Board'!E15),"")</f>
        <v>DTX</v>
      </c>
      <c r="AM15" t="str">
        <f ca="1">IF($AB15=1,'🛏 HP Bed Board'!J15,"")</f>
        <v>Aetna</v>
      </c>
      <c r="AN15" s="71">
        <f ca="1">IF($AB15=1,'🛏 HP Bed Board'!D15,"")</f>
        <v>46183</v>
      </c>
    </row>
    <row r="16" spans="28:40" ht="15" customHeight="1">
      <c r="AB16" t="str">
        <f ca="1">IF(AND('🛏 HP Bed Board'!B16="Occupied",'🛏 HP Bed Board'!H16&lt;&gt;"",'🛏 HP Bed Board'!H16&gt;=TODAY(),'🛏 HP Bed Board'!H16&lt;=TODAY()+7),1,"")</f>
        <v/>
      </c>
      <c r="AC16" t="str">
        <f t="shared" ca="1" si="0"/>
        <v/>
      </c>
      <c r="AD16" t="str">
        <f ca="1">IF($AB16=1,'🛏 HP Bed Board'!C16,"")</f>
        <v/>
      </c>
      <c r="AE16" t="str">
        <f t="shared" ca="1" si="1"/>
        <v/>
      </c>
      <c r="AF16" t="str">
        <f ca="1">IF($AB16=1,'🛏 HP Bed Board'!A16,"")</f>
        <v/>
      </c>
      <c r="AG16" t="str">
        <f ca="1">IF($AB16=1,TEXT('🛏 HP Bed Board'!D16,"M/D"),"")</f>
        <v/>
      </c>
      <c r="AH16" t="str">
        <f ca="1">IF($AB16=1,INT(TODAY()-INT('🛏 HP Bed Board'!D16)),"")</f>
        <v/>
      </c>
      <c r="AI16" t="str">
        <f ca="1">IF($AB16=1,TEXT('🛏 HP Bed Board'!H16,"M/D"),"")</f>
        <v/>
      </c>
      <c r="AJ16" t="str">
        <f ca="1">IF($AB16=1,INT('🛏 HP Bed Board'!H16-TODAY())&amp;"d","")</f>
        <v/>
      </c>
      <c r="AK16" t="str">
        <f ca="1">IF($AB16=1,'🛏 HP Bed Board'!M16,"")</f>
        <v/>
      </c>
      <c r="AL16" t="str">
        <f ca="1">IF($AB16=1,IF('🛏 HP Bed Board'!F16&lt;&gt;"",'🛏 HP Bed Board'!F16,'🛏 HP Bed Board'!E16),"")</f>
        <v/>
      </c>
      <c r="AM16" t="str">
        <f ca="1">IF($AB16=1,'🛏 HP Bed Board'!J16,"")</f>
        <v/>
      </c>
      <c r="AN16" s="71" t="str">
        <f ca="1">IF($AB16=1,'🛏 HP Bed Board'!D16,"")</f>
        <v/>
      </c>
    </row>
    <row r="17" spans="28:40" ht="15" customHeight="1">
      <c r="AB17">
        <f ca="1">IF(AND('🛏 HP Bed Board'!B17="Occupied",'🛏 HP Bed Board'!H17&lt;&gt;"",'🛏 HP Bed Board'!H17&gt;=TODAY(),'🛏 HP Bed Board'!H17&lt;=TODAY()+7),1,"")</f>
        <v>1</v>
      </c>
      <c r="AC17">
        <f t="shared" ca="1" si="0"/>
        <v>3</v>
      </c>
      <c r="AD17" t="str">
        <f ca="1">IF($AB17=1,'🛏 HP Bed Board'!C17,"")</f>
        <v>Monica Gamboa</v>
      </c>
      <c r="AE17" t="str">
        <f t="shared" ca="1" si="1"/>
        <v>HP</v>
      </c>
      <c r="AF17" t="str">
        <f ca="1">IF($AB17=1,'🛏 HP Bed Board'!A17,"")</f>
        <v>M3-B</v>
      </c>
      <c r="AG17" t="str">
        <f ca="1">IF($AB17=1,TEXT('🛏 HP Bed Board'!D17,"M/D"),"")</f>
        <v>6/11</v>
      </c>
      <c r="AH17">
        <f ca="1">IF($AB17=1,INT(TODAY()-INT('🛏 HP Bed Board'!D17)),"")</f>
        <v>6</v>
      </c>
      <c r="AI17" t="str">
        <f ca="1">IF($AB17=1,TEXT('🛏 HP Bed Board'!H17,"M/D"),"")</f>
        <v>6/21</v>
      </c>
      <c r="AJ17" t="str">
        <f ca="1">IF($AB17=1,INT('🛏 HP Bed Board'!H17-TODAY())&amp;"d","")</f>
        <v>4d</v>
      </c>
      <c r="AK17" t="str">
        <f ca="1">IF($AB17=1,'🛏 HP Bed Board'!M17,"")</f>
        <v>Amy</v>
      </c>
      <c r="AL17" t="str">
        <f ca="1">IF($AB17=1,IF('🛏 HP Bed Board'!F17&lt;&gt;"",'🛏 HP Bed Board'!F17,'🛏 HP Bed Board'!E17),"")</f>
        <v>DTX/RTC</v>
      </c>
      <c r="AM17" t="str">
        <f ca="1">IF($AB17=1,'🛏 HP Bed Board'!J17,"")</f>
        <v>Molina CA</v>
      </c>
      <c r="AN17">
        <f ca="1">IF($AB17=1,'🛏 HP Bed Board'!D17,"")</f>
        <v>46184</v>
      </c>
    </row>
    <row r="18" spans="28:40" ht="15" customHeight="1">
      <c r="AB18" t="str">
        <f ca="1">IF(AND('🛏 HP Bed Board'!B18="Occupied",'🛏 HP Bed Board'!H18&lt;&gt;"",'🛏 HP Bed Board'!H18&gt;=TODAY(),'🛏 HP Bed Board'!H18&lt;=TODAY()+7),1,"")</f>
        <v/>
      </c>
      <c r="AC18" t="str">
        <f t="shared" ca="1" si="0"/>
        <v/>
      </c>
      <c r="AD18" t="str">
        <f ca="1">IF($AB18=1,'🛏 HP Bed Board'!C18,"")</f>
        <v/>
      </c>
      <c r="AE18" t="str">
        <f t="shared" ca="1" si="1"/>
        <v/>
      </c>
      <c r="AF18" t="str">
        <f ca="1">IF($AB18=1,'🛏 HP Bed Board'!A18,"")</f>
        <v/>
      </c>
      <c r="AG18" t="str">
        <f ca="1">IF($AB18=1,TEXT('🛏 HP Bed Board'!D18,"M/D"),"")</f>
        <v/>
      </c>
      <c r="AH18" t="str">
        <f ca="1">IF($AB18=1,INT(TODAY()-INT('🛏 HP Bed Board'!D18)),"")</f>
        <v/>
      </c>
      <c r="AI18" t="str">
        <f ca="1">IF($AB18=1,TEXT('🛏 HP Bed Board'!H18,"M/D"),"")</f>
        <v/>
      </c>
      <c r="AJ18" t="str">
        <f ca="1">IF($AB18=1,INT('🛏 HP Bed Board'!H18-TODAY())&amp;"d","")</f>
        <v/>
      </c>
      <c r="AK18" t="str">
        <f ca="1">IF($AB18=1,'🛏 HP Bed Board'!M18,"")</f>
        <v/>
      </c>
      <c r="AL18" t="str">
        <f ca="1">IF($AB18=1,IF('🛏 HP Bed Board'!F18&lt;&gt;"",'🛏 HP Bed Board'!F18,'🛏 HP Bed Board'!E18),"")</f>
        <v/>
      </c>
      <c r="AM18" t="str">
        <f ca="1">IF($AB18=1,'🛏 HP Bed Board'!J18,"")</f>
        <v/>
      </c>
      <c r="AN18" s="71" t="str">
        <f ca="1">IF($AB18=1,'🛏 HP Bed Board'!D18,"")</f>
        <v/>
      </c>
    </row>
    <row r="19" spans="28:40" ht="15" customHeight="1">
      <c r="AB19" t="str">
        <f ca="1">IF(AND('🛏 HP Bed Board'!B19="Occupied",'🛏 HP Bed Board'!H19&lt;&gt;"",'🛏 HP Bed Board'!H19&gt;=TODAY(),'🛏 HP Bed Board'!H19&lt;=TODAY()+7),1,"")</f>
        <v/>
      </c>
      <c r="AC19" t="str">
        <f t="shared" ca="1" si="0"/>
        <v/>
      </c>
      <c r="AD19" t="str">
        <f ca="1">IF($AB19=1,'🛏 HP Bed Board'!C19,"")</f>
        <v/>
      </c>
      <c r="AE19" t="str">
        <f t="shared" ca="1" si="1"/>
        <v/>
      </c>
      <c r="AF19" t="str">
        <f ca="1">IF($AB19=1,'🛏 HP Bed Board'!A19,"")</f>
        <v/>
      </c>
      <c r="AG19" t="str">
        <f ca="1">IF($AB19=1,TEXT('🛏 HP Bed Board'!D19,"M/D"),"")</f>
        <v/>
      </c>
      <c r="AH19" t="str">
        <f ca="1">IF($AB19=1,INT(TODAY()-INT('🛏 HP Bed Board'!D19)),"")</f>
        <v/>
      </c>
      <c r="AI19" t="str">
        <f ca="1">IF($AB19=1,TEXT('🛏 HP Bed Board'!H19,"M/D"),"")</f>
        <v/>
      </c>
      <c r="AJ19" t="str">
        <f ca="1">IF($AB19=1,INT('🛏 HP Bed Board'!H19-TODAY())&amp;"d","")</f>
        <v/>
      </c>
      <c r="AK19" t="str">
        <f ca="1">IF($AB19=1,'🛏 HP Bed Board'!M19,"")</f>
        <v/>
      </c>
      <c r="AL19" t="str">
        <f ca="1">IF($AB19=1,IF('🛏 HP Bed Board'!F19&lt;&gt;"",'🛏 HP Bed Board'!F19,'🛏 HP Bed Board'!E19),"")</f>
        <v/>
      </c>
      <c r="AM19" t="str">
        <f ca="1">IF($AB19=1,'🛏 HP Bed Board'!J19,"")</f>
        <v/>
      </c>
      <c r="AN19" s="71" t="str">
        <f ca="1">IF($AB19=1,'🛏 HP Bed Board'!D19,"")</f>
        <v/>
      </c>
    </row>
    <row r="20" spans="28:40" ht="15" customHeight="1">
      <c r="AB20" t="str">
        <f ca="1">IF(AND('🛏 HP Bed Board'!B20="Occupied",'🛏 HP Bed Board'!H20&lt;&gt;"",'🛏 HP Bed Board'!H20&gt;=TODAY(),'🛏 HP Bed Board'!H20&lt;=TODAY()+7),1,"")</f>
        <v/>
      </c>
      <c r="AC20" t="str">
        <f t="shared" ca="1" si="0"/>
        <v/>
      </c>
      <c r="AD20" t="str">
        <f ca="1">IF($AB20=1,'🛏 HP Bed Board'!C20,"")</f>
        <v/>
      </c>
      <c r="AE20" t="str">
        <f t="shared" ca="1" si="1"/>
        <v/>
      </c>
      <c r="AF20" t="str">
        <f ca="1">IF($AB20=1,'🛏 HP Bed Board'!A20,"")</f>
        <v/>
      </c>
      <c r="AG20" t="str">
        <f ca="1">IF($AB20=1,TEXT('🛏 HP Bed Board'!D20,"M/D"),"")</f>
        <v/>
      </c>
      <c r="AH20" t="str">
        <f ca="1">IF($AB20=1,INT(TODAY()-INT('🛏 HP Bed Board'!D20)),"")</f>
        <v/>
      </c>
      <c r="AI20" t="str">
        <f ca="1">IF($AB20=1,TEXT('🛏 HP Bed Board'!H20,"M/D"),"")</f>
        <v/>
      </c>
      <c r="AJ20" t="str">
        <f ca="1">IF($AB20=1,INT('🛏 HP Bed Board'!H20-TODAY())&amp;"d","")</f>
        <v/>
      </c>
      <c r="AK20" t="str">
        <f ca="1">IF($AB20=1,'🛏 HP Bed Board'!M20,"")</f>
        <v/>
      </c>
      <c r="AL20" t="str">
        <f ca="1">IF($AB20=1,IF('🛏 HP Bed Board'!F20&lt;&gt;"",'🛏 HP Bed Board'!F20,'🛏 HP Bed Board'!E20),"")</f>
        <v/>
      </c>
      <c r="AM20" t="str">
        <f ca="1">IF($AB20=1,'🛏 HP Bed Board'!J20,"")</f>
        <v/>
      </c>
      <c r="AN20" s="71" t="str">
        <f ca="1">IF($AB20=1,'🛏 HP Bed Board'!D20,"")</f>
        <v/>
      </c>
    </row>
    <row r="21" spans="28:40" ht="15" customHeight="1">
      <c r="AB21" t="str">
        <f ca="1">IF(AND('🛏 HP Bed Board'!B21="Occupied",'🛏 HP Bed Board'!H21&lt;&gt;"",'🛏 HP Bed Board'!H21&gt;=TODAY(),'🛏 HP Bed Board'!H21&lt;=TODAY()+7),1,"")</f>
        <v/>
      </c>
      <c r="AC21" t="str">
        <f t="shared" ca="1" si="0"/>
        <v/>
      </c>
      <c r="AD21" t="str">
        <f ca="1">IF($AB21=1,'🛏 HP Bed Board'!C21,"")</f>
        <v/>
      </c>
      <c r="AE21" t="str">
        <f t="shared" ca="1" si="1"/>
        <v/>
      </c>
      <c r="AF21" t="str">
        <f ca="1">IF($AB21=1,'🛏 HP Bed Board'!A21,"")</f>
        <v/>
      </c>
      <c r="AG21" t="str">
        <f ca="1">IF($AB21=1,TEXT('🛏 HP Bed Board'!D21,"M/D"),"")</f>
        <v/>
      </c>
      <c r="AH21" t="str">
        <f ca="1">IF($AB21=1,INT(TODAY()-INT('🛏 HP Bed Board'!D21)),"")</f>
        <v/>
      </c>
      <c r="AI21" t="str">
        <f ca="1">IF($AB21=1,TEXT('🛏 HP Bed Board'!H21,"M/D"),"")</f>
        <v/>
      </c>
      <c r="AJ21" t="str">
        <f ca="1">IF($AB21=1,INT('🛏 HP Bed Board'!H21-TODAY())&amp;"d","")</f>
        <v/>
      </c>
      <c r="AK21" t="str">
        <f ca="1">IF($AB21=1,'🛏 HP Bed Board'!M21,"")</f>
        <v/>
      </c>
      <c r="AL21" t="str">
        <f ca="1">IF($AB21=1,IF('🛏 HP Bed Board'!F21&lt;&gt;"",'🛏 HP Bed Board'!F21,'🛏 HP Bed Board'!E21),"")</f>
        <v/>
      </c>
      <c r="AM21" t="str">
        <f ca="1">IF($AB21=1,'🛏 HP Bed Board'!J21,"")</f>
        <v/>
      </c>
      <c r="AN21" s="71" t="str">
        <f ca="1">IF($AB21=1,'🛏 HP Bed Board'!D21,"")</f>
        <v/>
      </c>
    </row>
    <row r="22" spans="28:40" ht="15" customHeight="1">
      <c r="AB22" t="str">
        <f ca="1">IF(AND('🛏 HP Bed Board'!B22="Occupied",'🛏 HP Bed Board'!H22&lt;&gt;"",'🛏 HP Bed Board'!H22&gt;=TODAY(),'🛏 HP Bed Board'!H22&lt;=TODAY()+7),1,"")</f>
        <v/>
      </c>
      <c r="AC22" t="str">
        <f t="shared" ca="1" si="0"/>
        <v/>
      </c>
      <c r="AD22" t="str">
        <f ca="1">IF($AB22=1,'🛏 HP Bed Board'!C22,"")</f>
        <v/>
      </c>
      <c r="AE22" t="str">
        <f t="shared" ca="1" si="1"/>
        <v/>
      </c>
      <c r="AF22" t="str">
        <f ca="1">IF($AB22=1,'🛏 HP Bed Board'!A22,"")</f>
        <v/>
      </c>
      <c r="AG22" t="str">
        <f ca="1">IF($AB22=1,TEXT('🛏 HP Bed Board'!D22,"M/D"),"")</f>
        <v/>
      </c>
      <c r="AH22" t="str">
        <f ca="1">IF($AB22=1,INT(TODAY()-INT('🛏 HP Bed Board'!D22)),"")</f>
        <v/>
      </c>
      <c r="AI22" t="str">
        <f ca="1">IF($AB22=1,TEXT('🛏 HP Bed Board'!H22,"M/D"),"")</f>
        <v/>
      </c>
      <c r="AJ22" t="str">
        <f ca="1">IF($AB22=1,INT('🛏 HP Bed Board'!H22-TODAY())&amp;"d","")</f>
        <v/>
      </c>
      <c r="AK22" t="str">
        <f ca="1">IF($AB22=1,'🛏 HP Bed Board'!M22,"")</f>
        <v/>
      </c>
      <c r="AL22" t="str">
        <f ca="1">IF($AB22=1,IF('🛏 HP Bed Board'!F22&lt;&gt;"",'🛏 HP Bed Board'!F22,'🛏 HP Bed Board'!E22),"")</f>
        <v/>
      </c>
      <c r="AM22" t="str">
        <f ca="1">IF($AB22=1,'🛏 HP Bed Board'!J22,"")</f>
        <v/>
      </c>
      <c r="AN22" t="str">
        <f ca="1">IF($AB22=1,'🛏 HP Bed Board'!D22,"")</f>
        <v/>
      </c>
    </row>
    <row r="23" spans="28:40" ht="15" customHeight="1">
      <c r="AB23" t="str">
        <f ca="1">IF(AND('🛏 HP Bed Board'!B23="Occupied",'🛏 HP Bed Board'!H23&lt;&gt;"",'🛏 HP Bed Board'!H23&gt;=TODAY(),'🛏 HP Bed Board'!H23&lt;=TODAY()+7),1,"")</f>
        <v/>
      </c>
      <c r="AC23" t="str">
        <f t="shared" ca="1" si="0"/>
        <v/>
      </c>
      <c r="AD23" t="str">
        <f ca="1">IF($AB23=1,'🛏 HP Bed Board'!C23,"")</f>
        <v/>
      </c>
      <c r="AE23" t="str">
        <f t="shared" ca="1" si="1"/>
        <v/>
      </c>
      <c r="AF23" t="str">
        <f ca="1">IF($AB23=1,'🛏 HP Bed Board'!A23,"")</f>
        <v/>
      </c>
      <c r="AG23" t="str">
        <f ca="1">IF($AB23=1,TEXT('🛏 HP Bed Board'!D23,"M/D"),"")</f>
        <v/>
      </c>
      <c r="AH23" t="str">
        <f ca="1">IF($AB23=1,INT(TODAY()-INT('🛏 HP Bed Board'!D23)),"")</f>
        <v/>
      </c>
      <c r="AI23" t="str">
        <f ca="1">IF($AB23=1,TEXT('🛏 HP Bed Board'!H23,"M/D"),"")</f>
        <v/>
      </c>
      <c r="AJ23" t="str">
        <f ca="1">IF($AB23=1,INT('🛏 HP Bed Board'!H23-TODAY())&amp;"d","")</f>
        <v/>
      </c>
      <c r="AK23" t="str">
        <f ca="1">IF($AB23=1,'🛏 HP Bed Board'!M23,"")</f>
        <v/>
      </c>
      <c r="AL23" t="str">
        <f ca="1">IF($AB23=1,IF('🛏 HP Bed Board'!F23&lt;&gt;"",'🛏 HP Bed Board'!F23,'🛏 HP Bed Board'!E23),"")</f>
        <v/>
      </c>
      <c r="AM23" t="str">
        <f ca="1">IF($AB23=1,'🛏 HP Bed Board'!J23,"")</f>
        <v/>
      </c>
      <c r="AN23" t="str">
        <f ca="1">IF($AB23=1,'🛏 HP Bed Board'!D23,"")</f>
        <v/>
      </c>
    </row>
    <row r="24" spans="28:40" ht="15" customHeight="1">
      <c r="AB24">
        <f ca="1">IF(AND('🛏 HPE Bed Board'!B11="Occupied",'🛏 HPE Bed Board'!H11&lt;&gt;"",'🛏 HPE Bed Board'!H11&gt;=TODAY(),'🛏 HPE Bed Board'!H11&lt;=TODAY()+7),1,"")</f>
        <v>1</v>
      </c>
      <c r="AC24">
        <f t="shared" ca="1" si="0"/>
        <v>4</v>
      </c>
      <c r="AD24" t="str">
        <f ca="1">IF($AB24=1,'🛏 HPE Bed Board'!C11,"")</f>
        <v>Allisa Leuvrey</v>
      </c>
      <c r="AE24" t="str">
        <f t="shared" ref="AE24:AE35" ca="1" si="2">IF($AB24=1,"HPE","")</f>
        <v>HPE</v>
      </c>
      <c r="AF24" t="str">
        <f ca="1">IF($AB24=1,'🛏 HPE Bed Board'!A11,"")</f>
        <v>H1-1A</v>
      </c>
      <c r="AG24" t="str">
        <f ca="1">IF($AB24=1,TEXT('🛏 HPE Bed Board'!D11,"M/D"),"")</f>
        <v>6/12</v>
      </c>
      <c r="AH24">
        <f ca="1">IF($AB24=1,INT(TODAY()-INT('🛏 HPE Bed Board'!D11)),"")</f>
        <v>5</v>
      </c>
      <c r="AI24" t="str">
        <f ca="1">IF($AB24=1,TEXT('🛏 HPE Bed Board'!H11,"M/D"),"")</f>
        <v>6/19</v>
      </c>
      <c r="AJ24" t="str">
        <f ca="1">IF($AB24=1,INT('🛏 HPE Bed Board'!H11-TODAY())&amp;"d","")</f>
        <v>2d</v>
      </c>
      <c r="AK24" t="str">
        <f ca="1">IF($AB24=1,'🛏 HPE Bed Board'!M11,"")</f>
        <v>Amy</v>
      </c>
      <c r="AL24" t="str">
        <f ca="1">IF($AB24=1,IF('🛏 HPE Bed Board'!F11&lt;&gt;"",'🛏 HPE Bed Board'!F11,'🛏 HPE Bed Board'!E11),"")</f>
        <v>DTX</v>
      </c>
      <c r="AM24" t="str">
        <f ca="1">IF($AB24=1,'🛏 HPE Bed Board'!J11,"")</f>
        <v>Blue Shield CA</v>
      </c>
      <c r="AN24" s="71">
        <f ca="1">IF($AB24=1,'🛏 HPE Bed Board'!D11,"")</f>
        <v>46185</v>
      </c>
    </row>
    <row r="25" spans="28:40" ht="15" customHeight="1">
      <c r="AB25" t="str">
        <f ca="1">IF(AND('🛏 HPE Bed Board'!B12="Occupied",'🛏 HPE Bed Board'!H12&lt;&gt;"",'🛏 HPE Bed Board'!H12&gt;=TODAY(),'🛏 HPE Bed Board'!H12&lt;=TODAY()+7),1,"")</f>
        <v/>
      </c>
      <c r="AC25" t="str">
        <f t="shared" ca="1" si="0"/>
        <v/>
      </c>
      <c r="AD25" t="str">
        <f ca="1">IF($AB25=1,'🛏 HPE Bed Board'!C12,"")</f>
        <v/>
      </c>
      <c r="AE25" t="str">
        <f t="shared" ca="1" si="2"/>
        <v/>
      </c>
      <c r="AF25" t="str">
        <f ca="1">IF($AB25=1,'🛏 HPE Bed Board'!A12,"")</f>
        <v/>
      </c>
      <c r="AG25" t="str">
        <f ca="1">IF($AB25=1,TEXT('🛏 HPE Bed Board'!D12,"M/D"),"")</f>
        <v/>
      </c>
      <c r="AH25" t="str">
        <f ca="1">IF($AB25=1,INT(TODAY()-INT('🛏 HPE Bed Board'!D12)),"")</f>
        <v/>
      </c>
      <c r="AI25" t="str">
        <f ca="1">IF($AB25=1,TEXT('🛏 HPE Bed Board'!H12,"M/D"),"")</f>
        <v/>
      </c>
      <c r="AJ25" t="str">
        <f ca="1">IF($AB25=1,INT('🛏 HPE Bed Board'!H12-TODAY())&amp;"d","")</f>
        <v/>
      </c>
      <c r="AK25" t="str">
        <f ca="1">IF($AB25=1,'🛏 HPE Bed Board'!M12,"")</f>
        <v/>
      </c>
      <c r="AL25" t="str">
        <f ca="1">IF($AB25=1,IF('🛏 HPE Bed Board'!F12&lt;&gt;"",'🛏 HPE Bed Board'!F12,'🛏 HPE Bed Board'!E12),"")</f>
        <v/>
      </c>
      <c r="AM25" t="str">
        <f ca="1">IF($AB25=1,'🛏 HPE Bed Board'!J12,"")</f>
        <v/>
      </c>
      <c r="AN25" s="71" t="str">
        <f ca="1">IF($AB25=1,'🛏 HPE Bed Board'!D12,"")</f>
        <v/>
      </c>
    </row>
    <row r="26" spans="28:40" ht="15" customHeight="1">
      <c r="AB26">
        <f ca="1">IF(AND('🛏 HPE Bed Board'!B13="Occupied",'🛏 HPE Bed Board'!H13&lt;&gt;"",'🛏 HPE Bed Board'!H13&gt;=TODAY(),'🛏 HPE Bed Board'!H13&lt;=TODAY()+7),1,"")</f>
        <v>1</v>
      </c>
      <c r="AC26">
        <f t="shared" ca="1" si="0"/>
        <v>1</v>
      </c>
      <c r="AD26" t="str">
        <f ca="1">IF($AB26=1,'🛏 HPE Bed Board'!C13,"")</f>
        <v>Rhonda Baim</v>
      </c>
      <c r="AE26" t="str">
        <f t="shared" ca="1" si="2"/>
        <v>HPE</v>
      </c>
      <c r="AF26" t="str">
        <f ca="1">IF($AB26=1,'🛏 HPE Bed Board'!A13,"")</f>
        <v>H1-2A</v>
      </c>
      <c r="AG26" t="str">
        <f ca="1">IF($AB26=1,TEXT('🛏 HPE Bed Board'!D13,"M/D"),"")</f>
        <v>5/24</v>
      </c>
      <c r="AH26">
        <f ca="1">IF($AB26=1,INT(TODAY()-INT('🛏 HPE Bed Board'!D13)),"")</f>
        <v>24</v>
      </c>
      <c r="AI26" t="str">
        <f ca="1">IF($AB26=1,TEXT('🛏 HPE Bed Board'!H13,"M/D"),"")</f>
        <v>6/23</v>
      </c>
      <c r="AJ26" t="str">
        <f ca="1">IF($AB26=1,INT('🛏 HPE Bed Board'!H13-TODAY())&amp;"d","")</f>
        <v>6d</v>
      </c>
      <c r="AK26" t="str">
        <f ca="1">IF($AB26=1,'🛏 HPE Bed Board'!M13,"")</f>
        <v>Nelson</v>
      </c>
      <c r="AL26" t="str">
        <f ca="1">IF($AB26=1,IF('🛏 HPE Bed Board'!F13&lt;&gt;"",'🛏 HPE Bed Board'!F13,'🛏 HPE Bed Board'!E13),"")</f>
        <v>DTX</v>
      </c>
      <c r="AM26" t="str">
        <f ca="1">IF($AB26=1,'🛏 HPE Bed Board'!J13,"")</f>
        <v>Anthem BC</v>
      </c>
      <c r="AN26" s="71">
        <f ca="1">IF($AB26=1,'🛏 HPE Bed Board'!D13,"")</f>
        <v>46166</v>
      </c>
    </row>
    <row r="27" spans="28:40" ht="15" customHeight="1">
      <c r="AB27" t="str">
        <f ca="1">IF(AND('🛏 HPE Bed Board'!B14="Occupied",'🛏 HPE Bed Board'!H14&lt;&gt;"",'🛏 HPE Bed Board'!H14&gt;=TODAY(),'🛏 HPE Bed Board'!H14&lt;=TODAY()+7),1,"")</f>
        <v/>
      </c>
      <c r="AC27" t="str">
        <f t="shared" ca="1" si="0"/>
        <v/>
      </c>
      <c r="AD27" t="str">
        <f ca="1">IF($AB27=1,'🛏 HPE Bed Board'!C14,"")</f>
        <v/>
      </c>
      <c r="AE27" t="str">
        <f t="shared" ca="1" si="2"/>
        <v/>
      </c>
      <c r="AF27" t="str">
        <f ca="1">IF($AB27=1,'🛏 HPE Bed Board'!A14,"")</f>
        <v/>
      </c>
      <c r="AG27" t="str">
        <f ca="1">IF($AB27=1,TEXT('🛏 HPE Bed Board'!D14,"M/D"),"")</f>
        <v/>
      </c>
      <c r="AH27" t="str">
        <f ca="1">IF($AB27=1,INT(TODAY()-INT('🛏 HPE Bed Board'!D14)),"")</f>
        <v/>
      </c>
      <c r="AI27" t="str">
        <f ca="1">IF($AB27=1,TEXT('🛏 HPE Bed Board'!H14,"M/D"),"")</f>
        <v/>
      </c>
      <c r="AJ27" t="str">
        <f ca="1">IF($AB27=1,INT('🛏 HPE Bed Board'!H14-TODAY())&amp;"d","")</f>
        <v/>
      </c>
      <c r="AK27" t="str">
        <f ca="1">IF($AB27=1,'🛏 HPE Bed Board'!M14,"")</f>
        <v/>
      </c>
      <c r="AL27" t="str">
        <f ca="1">IF($AB27=1,IF('🛏 HPE Bed Board'!F14&lt;&gt;"",'🛏 HPE Bed Board'!F14,'🛏 HPE Bed Board'!E14),"")</f>
        <v/>
      </c>
      <c r="AM27" t="str">
        <f ca="1">IF($AB27=1,'🛏 HPE Bed Board'!J14,"")</f>
        <v/>
      </c>
      <c r="AN27" s="71" t="str">
        <f ca="1">IF($AB27=1,'🛏 HPE Bed Board'!D14,"")</f>
        <v/>
      </c>
    </row>
    <row r="28" spans="28:40" ht="15" customHeight="1">
      <c r="AB28" t="str">
        <f ca="1">IF(AND('🛏 HPE Bed Board'!B15="Occupied",'🛏 HPE Bed Board'!H15&lt;&gt;"",'🛏 HPE Bed Board'!H15&gt;=TODAY(),'🛏 HPE Bed Board'!H15&lt;=TODAY()+7),1,"")</f>
        <v/>
      </c>
      <c r="AC28" t="str">
        <f t="shared" ca="1" si="0"/>
        <v/>
      </c>
      <c r="AD28" t="str">
        <f ca="1">IF($AB28=1,'🛏 HPE Bed Board'!C15,"")</f>
        <v/>
      </c>
      <c r="AE28" t="str">
        <f t="shared" ca="1" si="2"/>
        <v/>
      </c>
      <c r="AF28" t="str">
        <f ca="1">IF($AB28=1,'🛏 HPE Bed Board'!A15,"")</f>
        <v/>
      </c>
      <c r="AG28" t="str">
        <f ca="1">IF($AB28=1,TEXT('🛏 HPE Bed Board'!D15,"M/D"),"")</f>
        <v/>
      </c>
      <c r="AH28" t="str">
        <f ca="1">IF($AB28=1,INT(TODAY()-INT('🛏 HPE Bed Board'!D15)),"")</f>
        <v/>
      </c>
      <c r="AI28" t="str">
        <f ca="1">IF($AB28=1,TEXT('🛏 HPE Bed Board'!H15,"M/D"),"")</f>
        <v/>
      </c>
      <c r="AJ28" t="str">
        <f ca="1">IF($AB28=1,INT('🛏 HPE Bed Board'!H15-TODAY())&amp;"d","")</f>
        <v/>
      </c>
      <c r="AK28" t="str">
        <f ca="1">IF($AB28=1,'🛏 HPE Bed Board'!M15,"")</f>
        <v/>
      </c>
      <c r="AL28" t="str">
        <f ca="1">IF($AB28=1,IF('🛏 HPE Bed Board'!F15&lt;&gt;"",'🛏 HPE Bed Board'!F15,'🛏 HPE Bed Board'!E15),"")</f>
        <v/>
      </c>
      <c r="AM28" t="str">
        <f ca="1">IF($AB28=1,'🛏 HPE Bed Board'!J15,"")</f>
        <v/>
      </c>
      <c r="AN28" t="str">
        <f ca="1">IF($AB28=1,'🛏 HPE Bed Board'!D15,"")</f>
        <v/>
      </c>
    </row>
    <row r="29" spans="28:40" ht="15" customHeight="1">
      <c r="AB29" t="str">
        <f ca="1">IF(AND('🛏 HPE Bed Board'!B16="Occupied",'🛏 HPE Bed Board'!H16&lt;&gt;"",'🛏 HPE Bed Board'!H16&gt;=TODAY(),'🛏 HPE Bed Board'!H16&lt;=TODAY()+7),1,"")</f>
        <v/>
      </c>
      <c r="AC29" t="str">
        <f t="shared" ca="1" si="0"/>
        <v/>
      </c>
      <c r="AD29" t="str">
        <f ca="1">IF($AB29=1,'🛏 HPE Bed Board'!C16,"")</f>
        <v/>
      </c>
      <c r="AE29" t="str">
        <f t="shared" ca="1" si="2"/>
        <v/>
      </c>
      <c r="AF29" t="str">
        <f ca="1">IF($AB29=1,'🛏 HPE Bed Board'!A16,"")</f>
        <v/>
      </c>
      <c r="AG29" t="str">
        <f ca="1">IF($AB29=1,TEXT('🛏 HPE Bed Board'!D16,"M/D"),"")</f>
        <v/>
      </c>
      <c r="AH29" t="str">
        <f ca="1">IF($AB29=1,INT(TODAY()-INT('🛏 HPE Bed Board'!D16)),"")</f>
        <v/>
      </c>
      <c r="AI29" t="str">
        <f ca="1">IF($AB29=1,TEXT('🛏 HPE Bed Board'!H16,"M/D"),"")</f>
        <v/>
      </c>
      <c r="AJ29" t="str">
        <f ca="1">IF($AB29=1,INT('🛏 HPE Bed Board'!H16-TODAY())&amp;"d","")</f>
        <v/>
      </c>
      <c r="AK29" t="str">
        <f ca="1">IF($AB29=1,'🛏 HPE Bed Board'!M16,"")</f>
        <v/>
      </c>
      <c r="AL29" t="str">
        <f ca="1">IF($AB29=1,IF('🛏 HPE Bed Board'!F16&lt;&gt;"",'🛏 HPE Bed Board'!F16,'🛏 HPE Bed Board'!E16),"")</f>
        <v/>
      </c>
      <c r="AM29" t="str">
        <f ca="1">IF($AB29=1,'🛏 HPE Bed Board'!J16,"")</f>
        <v/>
      </c>
      <c r="AN29" s="71" t="str">
        <f ca="1">IF($AB29=1,'🛏 HPE Bed Board'!D16,"")</f>
        <v/>
      </c>
    </row>
    <row r="30" spans="28:40" ht="15" customHeight="1">
      <c r="AB30" t="str">
        <f ca="1">IF(AND('🛏 HPE Bed Board'!B18="Occupied",'🛏 HPE Bed Board'!H18&lt;&gt;"",'🛏 HPE Bed Board'!H18&gt;=TODAY(),'🛏 HPE Bed Board'!H18&lt;=TODAY()+7),1,"")</f>
        <v/>
      </c>
      <c r="AC30" t="str">
        <f t="shared" ca="1" si="0"/>
        <v/>
      </c>
      <c r="AD30" t="str">
        <f ca="1">IF($AB30=1,'🛏 HPE Bed Board'!C18,"")</f>
        <v/>
      </c>
      <c r="AE30" t="str">
        <f t="shared" ca="1" si="2"/>
        <v/>
      </c>
      <c r="AF30" t="str">
        <f ca="1">IF($AB30=1,'🛏 HPE Bed Board'!A18,"")</f>
        <v/>
      </c>
      <c r="AG30" t="str">
        <f ca="1">IF($AB30=1,TEXT('🛏 HPE Bed Board'!D18,"M/D"),"")</f>
        <v/>
      </c>
      <c r="AH30" t="str">
        <f ca="1">IF($AB30=1,INT(TODAY()-INT('🛏 HPE Bed Board'!D18)),"")</f>
        <v/>
      </c>
      <c r="AI30" t="str">
        <f ca="1">IF($AB30=1,TEXT('🛏 HPE Bed Board'!H18,"M/D"),"")</f>
        <v/>
      </c>
      <c r="AJ30" t="str">
        <f ca="1">IF($AB30=1,INT('🛏 HPE Bed Board'!H18-TODAY())&amp;"d","")</f>
        <v/>
      </c>
      <c r="AK30" t="str">
        <f ca="1">IF($AB30=1,'🛏 HPE Bed Board'!M18,"")</f>
        <v/>
      </c>
      <c r="AL30" t="str">
        <f ca="1">IF($AB30=1,IF('🛏 HPE Bed Board'!F18&lt;&gt;"",'🛏 HPE Bed Board'!F18,'🛏 HPE Bed Board'!E18),"")</f>
        <v/>
      </c>
      <c r="AM30" t="str">
        <f ca="1">IF($AB30=1,'🛏 HPE Bed Board'!J18,"")</f>
        <v/>
      </c>
      <c r="AN30" s="71" t="str">
        <f ca="1">IF($AB30=1,'🛏 HPE Bed Board'!D18,"")</f>
        <v/>
      </c>
    </row>
    <row r="31" spans="28:40" ht="15" customHeight="1">
      <c r="AB31" t="str">
        <f ca="1">IF(AND('🛏 HPE Bed Board'!B19="Occupied",'🛏 HPE Bed Board'!H19&lt;&gt;"",'🛏 HPE Bed Board'!H19&gt;=TODAY(),'🛏 HPE Bed Board'!H19&lt;=TODAY()+7),1,"")</f>
        <v/>
      </c>
      <c r="AC31" t="str">
        <f t="shared" ca="1" si="0"/>
        <v/>
      </c>
      <c r="AD31" t="str">
        <f ca="1">IF($AB31=1,'🛏 HPE Bed Board'!C19,"")</f>
        <v/>
      </c>
      <c r="AE31" t="str">
        <f t="shared" ca="1" si="2"/>
        <v/>
      </c>
      <c r="AF31" t="str">
        <f ca="1">IF($AB31=1,'🛏 HPE Bed Board'!A19,"")</f>
        <v/>
      </c>
      <c r="AG31" t="str">
        <f ca="1">IF($AB31=1,TEXT('🛏 HPE Bed Board'!D19,"M/D"),"")</f>
        <v/>
      </c>
      <c r="AH31" t="str">
        <f ca="1">IF($AB31=1,INT(TODAY()-INT('🛏 HPE Bed Board'!D19)),"")</f>
        <v/>
      </c>
      <c r="AI31" t="str">
        <f ca="1">IF($AB31=1,TEXT('🛏 HPE Bed Board'!H19,"M/D"),"")</f>
        <v/>
      </c>
      <c r="AJ31" t="str">
        <f ca="1">IF($AB31=1,INT('🛏 HPE Bed Board'!H19-TODAY())&amp;"d","")</f>
        <v/>
      </c>
      <c r="AK31" t="str">
        <f ca="1">IF($AB31=1,'🛏 HPE Bed Board'!M19,"")</f>
        <v/>
      </c>
      <c r="AL31" t="str">
        <f ca="1">IF($AB31=1,IF('🛏 HPE Bed Board'!F19&lt;&gt;"",'🛏 HPE Bed Board'!F19,'🛏 HPE Bed Board'!E19),"")</f>
        <v/>
      </c>
      <c r="AM31" t="str">
        <f ca="1">IF($AB31=1,'🛏 HPE Bed Board'!J19,"")</f>
        <v/>
      </c>
      <c r="AN31" s="71" t="str">
        <f ca="1">IF($AB31=1,'🛏 HPE Bed Board'!D19,"")</f>
        <v/>
      </c>
    </row>
    <row r="32" spans="28:40" ht="15" customHeight="1">
      <c r="AB32" t="str">
        <f ca="1">IF(AND('🛏 HPE Bed Board'!B20="Occupied",'🛏 HPE Bed Board'!H20&lt;&gt;"",'🛏 HPE Bed Board'!H20&gt;=TODAY(),'🛏 HPE Bed Board'!H20&lt;=TODAY()+7),1,"")</f>
        <v/>
      </c>
      <c r="AC32" t="str">
        <f t="shared" ca="1" si="0"/>
        <v/>
      </c>
      <c r="AD32" t="str">
        <f ca="1">IF($AB32=1,'🛏 HPE Bed Board'!C20,"")</f>
        <v/>
      </c>
      <c r="AE32" t="str">
        <f t="shared" ca="1" si="2"/>
        <v/>
      </c>
      <c r="AF32" t="str">
        <f ca="1">IF($AB32=1,'🛏 HPE Bed Board'!A20,"")</f>
        <v/>
      </c>
      <c r="AG32" t="str">
        <f ca="1">IF($AB32=1,TEXT('🛏 HPE Bed Board'!D20,"M/D"),"")</f>
        <v/>
      </c>
      <c r="AH32" t="str">
        <f ca="1">IF($AB32=1,INT(TODAY()-INT('🛏 HPE Bed Board'!D20)),"")</f>
        <v/>
      </c>
      <c r="AI32" t="str">
        <f ca="1">IF($AB32=1,TEXT('🛏 HPE Bed Board'!H20,"M/D"),"")</f>
        <v/>
      </c>
      <c r="AJ32" t="str">
        <f ca="1">IF($AB32=1,INT('🛏 HPE Bed Board'!H20-TODAY())&amp;"d","")</f>
        <v/>
      </c>
      <c r="AK32" t="str">
        <f ca="1">IF($AB32=1,'🛏 HPE Bed Board'!M20,"")</f>
        <v/>
      </c>
      <c r="AL32" t="str">
        <f ca="1">IF($AB32=1,IF('🛏 HPE Bed Board'!F20&lt;&gt;"",'🛏 HPE Bed Board'!F20,'🛏 HPE Bed Board'!E20),"")</f>
        <v/>
      </c>
      <c r="AM32" t="str">
        <f ca="1">IF($AB32=1,'🛏 HPE Bed Board'!J20,"")</f>
        <v/>
      </c>
      <c r="AN32" s="71" t="str">
        <f ca="1">IF($AB32=1,'🛏 HPE Bed Board'!D20,"")</f>
        <v/>
      </c>
    </row>
    <row r="33" spans="28:40" ht="15" customHeight="1">
      <c r="AB33" t="str">
        <f ca="1">IF(AND('🛏 HPE Bed Board'!B21="Occupied",'🛏 HPE Bed Board'!H21&lt;&gt;"",'🛏 HPE Bed Board'!H21&gt;=TODAY(),'🛏 HPE Bed Board'!H21&lt;=TODAY()+7),1,"")</f>
        <v/>
      </c>
      <c r="AC33" t="str">
        <f t="shared" ca="1" si="0"/>
        <v/>
      </c>
      <c r="AD33" t="str">
        <f ca="1">IF($AB33=1,'🛏 HPE Bed Board'!C21,"")</f>
        <v/>
      </c>
      <c r="AE33" t="str">
        <f t="shared" ca="1" si="2"/>
        <v/>
      </c>
      <c r="AF33" t="str">
        <f ca="1">IF($AB33=1,'🛏 HPE Bed Board'!A21,"")</f>
        <v/>
      </c>
      <c r="AG33" t="str">
        <f ca="1">IF($AB33=1,TEXT('🛏 HPE Bed Board'!D21,"M/D"),"")</f>
        <v/>
      </c>
      <c r="AH33" t="str">
        <f ca="1">IF($AB33=1,INT(TODAY()-INT('🛏 HPE Bed Board'!D21)),"")</f>
        <v/>
      </c>
      <c r="AI33" t="str">
        <f ca="1">IF($AB33=1,TEXT('🛏 HPE Bed Board'!H21,"M/D"),"")</f>
        <v/>
      </c>
      <c r="AJ33" t="str">
        <f ca="1">IF($AB33=1,INT('🛏 HPE Bed Board'!H21-TODAY())&amp;"d","")</f>
        <v/>
      </c>
      <c r="AK33" t="str">
        <f ca="1">IF($AB33=1,'🛏 HPE Bed Board'!M21,"")</f>
        <v/>
      </c>
      <c r="AL33" t="str">
        <f ca="1">IF($AB33=1,IF('🛏 HPE Bed Board'!F21&lt;&gt;"",'🛏 HPE Bed Board'!F21,'🛏 HPE Bed Board'!E21),"")</f>
        <v/>
      </c>
      <c r="AM33" t="str">
        <f ca="1">IF($AB33=1,'🛏 HPE Bed Board'!J21,"")</f>
        <v/>
      </c>
      <c r="AN33" t="str">
        <f ca="1">IF($AB33=1,'🛏 HPE Bed Board'!D21,"")</f>
        <v/>
      </c>
    </row>
    <row r="34" spans="28:40" ht="15" customHeight="1">
      <c r="AB34" t="str">
        <f ca="1">IF(AND('🛏 HPE Bed Board'!B22="Occupied",'🛏 HPE Bed Board'!H22&lt;&gt;"",'🛏 HPE Bed Board'!H22&gt;=TODAY(),'🛏 HPE Bed Board'!H22&lt;=TODAY()+7),1,"")</f>
        <v/>
      </c>
      <c r="AC34" t="str">
        <f t="shared" ca="1" si="0"/>
        <v/>
      </c>
      <c r="AD34" t="str">
        <f ca="1">IF($AB34=1,'🛏 HPE Bed Board'!C22,"")</f>
        <v/>
      </c>
      <c r="AE34" t="str">
        <f t="shared" ca="1" si="2"/>
        <v/>
      </c>
      <c r="AF34" t="str">
        <f ca="1">IF($AB34=1,'🛏 HPE Bed Board'!A22,"")</f>
        <v/>
      </c>
      <c r="AG34" t="str">
        <f ca="1">IF($AB34=1,TEXT('🛏 HPE Bed Board'!D22,"M/D"),"")</f>
        <v/>
      </c>
      <c r="AH34" t="str">
        <f ca="1">IF($AB34=1,INT(TODAY()-INT('🛏 HPE Bed Board'!D22)),"")</f>
        <v/>
      </c>
      <c r="AI34" t="str">
        <f ca="1">IF($AB34=1,TEXT('🛏 HPE Bed Board'!H22,"M/D"),"")</f>
        <v/>
      </c>
      <c r="AJ34" t="str">
        <f ca="1">IF($AB34=1,INT('🛏 HPE Bed Board'!H22-TODAY())&amp;"d","")</f>
        <v/>
      </c>
      <c r="AK34" t="str">
        <f ca="1">IF($AB34=1,'🛏 HPE Bed Board'!M22,"")</f>
        <v/>
      </c>
      <c r="AL34" t="str">
        <f ca="1">IF($AB34=1,IF('🛏 HPE Bed Board'!F22&lt;&gt;"",'🛏 HPE Bed Board'!F22,'🛏 HPE Bed Board'!E22),"")</f>
        <v/>
      </c>
      <c r="AM34" t="str">
        <f ca="1">IF($AB34=1,'🛏 HPE Bed Board'!J22,"")</f>
        <v/>
      </c>
      <c r="AN34" s="71" t="str">
        <f ca="1">IF($AB34=1,'🛏 HPE Bed Board'!D22,"")</f>
        <v/>
      </c>
    </row>
    <row r="35" spans="28:40" ht="15" customHeight="1">
      <c r="AB35" t="str">
        <f ca="1">IF(AND('🛏 HPE Bed Board'!B23="Occupied",'🛏 HPE Bed Board'!H23&lt;&gt;"",'🛏 HPE Bed Board'!H23&gt;=TODAY(),'🛏 HPE Bed Board'!H23&lt;=TODAY()+7),1,"")</f>
        <v/>
      </c>
      <c r="AC35" t="str">
        <f t="shared" ca="1" si="0"/>
        <v/>
      </c>
      <c r="AD35" t="str">
        <f ca="1">IF($AB35=1,'🛏 HPE Bed Board'!C23,"")</f>
        <v/>
      </c>
      <c r="AE35" t="str">
        <f t="shared" ca="1" si="2"/>
        <v/>
      </c>
      <c r="AF35" t="str">
        <f ca="1">IF($AB35=1,'🛏 HPE Bed Board'!A23,"")</f>
        <v/>
      </c>
      <c r="AG35" t="str">
        <f ca="1">IF($AB35=1,TEXT('🛏 HPE Bed Board'!D23,"M/D"),"")</f>
        <v/>
      </c>
      <c r="AH35" t="str">
        <f ca="1">IF($AB35=1,INT(TODAY()-INT('🛏 HPE Bed Board'!D23)),"")</f>
        <v/>
      </c>
      <c r="AI35" t="str">
        <f ca="1">IF($AB35=1,TEXT('🛏 HPE Bed Board'!H23,"M/D"),"")</f>
        <v/>
      </c>
      <c r="AJ35" t="str">
        <f ca="1">IF($AB35=1,INT('🛏 HPE Bed Board'!H23-TODAY())&amp;"d","")</f>
        <v/>
      </c>
      <c r="AK35" t="str">
        <f ca="1">IF($AB35=1,'🛏 HPE Bed Board'!M23,"")</f>
        <v/>
      </c>
      <c r="AL35" t="str">
        <f ca="1">IF($AB35=1,IF('🛏 HPE Bed Board'!F23&lt;&gt;"",'🛏 HPE Bed Board'!F23,'🛏 HPE Bed Board'!E23),"")</f>
        <v/>
      </c>
      <c r="AM35" t="str">
        <f ca="1">IF($AB35=1,'🛏 HPE Bed Board'!J23,"")</f>
        <v/>
      </c>
      <c r="AN35" s="71" t="str">
        <f ca="1">IF($AB35=1,'🛏 HPE Bed Board'!D23,"")</f>
        <v/>
      </c>
    </row>
    <row r="36" spans="28:40" ht="15" hidden="1" customHeight="1"/>
    <row r="37" spans="28:40" ht="15" hidden="1" customHeight="1"/>
    <row r="38" spans="28:40" ht="15" hidden="1" customHeight="1"/>
    <row r="39" spans="28:40" ht="15" hidden="1" customHeight="1"/>
    <row r="40" spans="28:40" ht="15" hidden="1" customHeight="1"/>
    <row r="41" spans="28:40" ht="15" hidden="1" customHeight="1"/>
    <row r="42" spans="28:40" ht="15" hidden="1" customHeight="1"/>
    <row r="43" spans="28:40" ht="15" hidden="1" customHeight="1"/>
    <row r="44" spans="28:40" ht="15" hidden="1" customHeight="1"/>
    <row r="45" spans="28:40" ht="15" hidden="1" customHeight="1"/>
    <row r="46" spans="28:40" ht="15" hidden="1" customHeight="1"/>
    <row r="47" spans="28:40" ht="15" hidden="1" customHeight="1"/>
    <row r="48" spans="28:40"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4:AD240"/>
  <sheetViews>
    <sheetView showGridLines="0" zoomScale="140" zoomScaleNormal="140" workbookViewId="0"/>
  </sheetViews>
  <sheetFormatPr defaultColWidth="0" defaultRowHeight="15"/>
  <cols>
    <col min="1" max="30" width="8.7109375" customWidth="1"/>
    <col min="31" max="16384" width="13" hidden="1"/>
  </cols>
  <sheetData>
    <row r="4" spans="28:30" ht="15" customHeight="1">
      <c r="AB4" t="s">
        <v>793</v>
      </c>
      <c r="AC4" t="s">
        <v>794</v>
      </c>
      <c r="AD4" t="s">
        <v>795</v>
      </c>
    </row>
    <row r="5" spans="28:30" ht="15" customHeight="1">
      <c r="AB5" t="str">
        <f>IF('🔥 Pipeline'!$D5="Scheduled",COUNTIF('🔥 Pipeline'!$D$5:$D5,"Scheduled"),"")</f>
        <v/>
      </c>
      <c r="AC5" t="str">
        <f>IF(AND('🔥 Pipeline'!$D5="Scheduled",'🔥 Pipeline'!$F5="HP"),COUNTIFS('🔥 Pipeline'!$D$5:$D5,"Scheduled",'🔥 Pipeline'!$F$5:$F5,"HP"),"")</f>
        <v/>
      </c>
      <c r="AD5" t="str">
        <f>IF(AND('🔥 Pipeline'!$D5="Scheduled",'🔥 Pipeline'!$F5="HPE"),COUNTIFS('🔥 Pipeline'!$D$5:$D5,"Scheduled",'🔥 Pipeline'!$F$5:$F5,"HPE"),"")</f>
        <v/>
      </c>
    </row>
    <row r="6" spans="28:30" ht="15" customHeight="1">
      <c r="AB6" t="str">
        <f>IF('🔥 Pipeline'!$D6="Scheduled",COUNTIF('🔥 Pipeline'!$D$5:$D6,"Scheduled"),"")</f>
        <v/>
      </c>
      <c r="AC6" t="str">
        <f>IF(AND('🔥 Pipeline'!$D6="Scheduled",'🔥 Pipeline'!$F6="HP"),COUNTIFS('🔥 Pipeline'!$D$5:$D6,"Scheduled",'🔥 Pipeline'!$F$5:$F6,"HP"),"")</f>
        <v/>
      </c>
      <c r="AD6" t="str">
        <f>IF(AND('🔥 Pipeline'!$D6="Scheduled",'🔥 Pipeline'!$F6="HPE"),COUNTIFS('🔥 Pipeline'!$D$5:$D6,"Scheduled",'🔥 Pipeline'!$F$5:$F6,"HPE"),"")</f>
        <v/>
      </c>
    </row>
    <row r="7" spans="28:30" ht="15" customHeight="1">
      <c r="AB7">
        <f>IF('🔥 Pipeline'!$D7="Scheduled",COUNTIF('🔥 Pipeline'!$D$5:$D7,"Scheduled"),"")</f>
        <v>1</v>
      </c>
      <c r="AC7" t="str">
        <f>IF(AND('🔥 Pipeline'!$D7="Scheduled",'🔥 Pipeline'!$F7="HP"),COUNTIFS('🔥 Pipeline'!$D$5:$D7,"Scheduled",'🔥 Pipeline'!$F$5:$F7,"HP"),"")</f>
        <v/>
      </c>
      <c r="AD7">
        <f>IF(AND('🔥 Pipeline'!$D7="Scheduled",'🔥 Pipeline'!$F7="HPE"),COUNTIFS('🔥 Pipeline'!$D$5:$D7,"Scheduled",'🔥 Pipeline'!$F$5:$F7,"HPE"),"")</f>
        <v>1</v>
      </c>
    </row>
    <row r="8" spans="28:30" ht="15" customHeight="1">
      <c r="AB8" t="str">
        <f>IF('🔥 Pipeline'!$D8="Scheduled",COUNTIF('🔥 Pipeline'!$D$5:$D8,"Scheduled"),"")</f>
        <v/>
      </c>
      <c r="AC8" t="str">
        <f>IF(AND('🔥 Pipeline'!$D8="Scheduled",'🔥 Pipeline'!$F8="HP"),COUNTIFS('🔥 Pipeline'!$D$5:$D8,"Scheduled",'🔥 Pipeline'!$F$5:$F8,"HP"),"")</f>
        <v/>
      </c>
      <c r="AD8" t="str">
        <f>IF(AND('🔥 Pipeline'!$D8="Scheduled",'🔥 Pipeline'!$F8="HPE"),COUNTIFS('🔥 Pipeline'!$D$5:$D8,"Scheduled",'🔥 Pipeline'!$F$5:$F8,"HPE"),"")</f>
        <v/>
      </c>
    </row>
    <row r="9" spans="28:30" ht="15" customHeight="1">
      <c r="AB9" t="str">
        <f>IF('🔥 Pipeline'!$D9="Scheduled",COUNTIF('🔥 Pipeline'!$D$5:$D9,"Scheduled"),"")</f>
        <v/>
      </c>
      <c r="AC9" t="str">
        <f>IF(AND('🔥 Pipeline'!$D9="Scheduled",'🔥 Pipeline'!$F9="HP"),COUNTIFS('🔥 Pipeline'!$D$5:$D9,"Scheduled",'🔥 Pipeline'!$F$5:$F9,"HP"),"")</f>
        <v/>
      </c>
      <c r="AD9" t="str">
        <f>IF(AND('🔥 Pipeline'!$D9="Scheduled",'🔥 Pipeline'!$F9="HPE"),COUNTIFS('🔥 Pipeline'!$D$5:$D9,"Scheduled",'🔥 Pipeline'!$F$5:$F9,"HPE"),"")</f>
        <v/>
      </c>
    </row>
    <row r="10" spans="28:30" ht="15" customHeight="1">
      <c r="AB10" t="str">
        <f>IF('🔥 Pipeline'!$D10="Scheduled",COUNTIF('🔥 Pipeline'!$D$5:$D10,"Scheduled"),"")</f>
        <v/>
      </c>
      <c r="AC10" t="str">
        <f>IF(AND('🔥 Pipeline'!$D10="Scheduled",'🔥 Pipeline'!$F10="HP"),COUNTIFS('🔥 Pipeline'!$D$5:$D10,"Scheduled",'🔥 Pipeline'!$F$5:$F10,"HP"),"")</f>
        <v/>
      </c>
      <c r="AD10" t="str">
        <f>IF(AND('🔥 Pipeline'!$D10="Scheduled",'🔥 Pipeline'!$F10="HPE"),COUNTIFS('🔥 Pipeline'!$D$5:$D10,"Scheduled",'🔥 Pipeline'!$F$5:$F10,"HPE"),"")</f>
        <v/>
      </c>
    </row>
    <row r="11" spans="28:30" ht="15" customHeight="1">
      <c r="AB11" t="str">
        <f>IF('🔥 Pipeline'!$D11="Scheduled",COUNTIF('🔥 Pipeline'!$D$5:$D11,"Scheduled"),"")</f>
        <v/>
      </c>
      <c r="AC11" t="str">
        <f>IF(AND('🔥 Pipeline'!$D11="Scheduled",'🔥 Pipeline'!$F11="HP"),COUNTIFS('🔥 Pipeline'!$D$5:$D11,"Scheduled",'🔥 Pipeline'!$F$5:$F11,"HP"),"")</f>
        <v/>
      </c>
      <c r="AD11" t="str">
        <f>IF(AND('🔥 Pipeline'!$D11="Scheduled",'🔥 Pipeline'!$F11="HPE"),COUNTIFS('🔥 Pipeline'!$D$5:$D11,"Scheduled",'🔥 Pipeline'!$F$5:$F11,"HPE"),"")</f>
        <v/>
      </c>
    </row>
    <row r="12" spans="28:30" ht="15" customHeight="1">
      <c r="AB12" t="str">
        <f>IF('🔥 Pipeline'!$D12="Scheduled",COUNTIF('🔥 Pipeline'!$D$5:$D12,"Scheduled"),"")</f>
        <v/>
      </c>
      <c r="AC12" t="str">
        <f>IF(AND('🔥 Pipeline'!$D12="Scheduled",'🔥 Pipeline'!$F12="HP"),COUNTIFS('🔥 Pipeline'!$D$5:$D12,"Scheduled",'🔥 Pipeline'!$F$5:$F12,"HP"),"")</f>
        <v/>
      </c>
      <c r="AD12" t="str">
        <f>IF(AND('🔥 Pipeline'!$D12="Scheduled",'🔥 Pipeline'!$F12="HPE"),COUNTIFS('🔥 Pipeline'!$D$5:$D12,"Scheduled",'🔥 Pipeline'!$F$5:$F12,"HPE"),"")</f>
        <v/>
      </c>
    </row>
    <row r="13" spans="28:30" ht="15" customHeight="1">
      <c r="AB13" t="str">
        <f>IF('🔥 Pipeline'!$D13="Scheduled",COUNTIF('🔥 Pipeline'!$D$5:$D13,"Scheduled"),"")</f>
        <v/>
      </c>
      <c r="AC13" t="str">
        <f>IF(AND('🔥 Pipeline'!$D13="Scheduled",'🔥 Pipeline'!$F13="HP"),COUNTIFS('🔥 Pipeline'!$D$5:$D13,"Scheduled",'🔥 Pipeline'!$F$5:$F13,"HP"),"")</f>
        <v/>
      </c>
      <c r="AD13" t="str">
        <f>IF(AND('🔥 Pipeline'!$D13="Scheduled",'🔥 Pipeline'!$F13="HPE"),COUNTIFS('🔥 Pipeline'!$D$5:$D13,"Scheduled",'🔥 Pipeline'!$F$5:$F13,"HPE"),"")</f>
        <v/>
      </c>
    </row>
    <row r="14" spans="28:30" ht="15" customHeight="1">
      <c r="AB14" t="str">
        <f>IF('🔥 Pipeline'!$D14="Scheduled",COUNTIF('🔥 Pipeline'!$D$5:$D14,"Scheduled"),"")</f>
        <v/>
      </c>
      <c r="AC14" t="str">
        <f>IF(AND('🔥 Pipeline'!$D14="Scheduled",'🔥 Pipeline'!$F14="HP"),COUNTIFS('🔥 Pipeline'!$D$5:$D14,"Scheduled",'🔥 Pipeline'!$F$5:$F14,"HP"),"")</f>
        <v/>
      </c>
      <c r="AD14" t="str">
        <f>IF(AND('🔥 Pipeline'!$D14="Scheduled",'🔥 Pipeline'!$F14="HPE"),COUNTIFS('🔥 Pipeline'!$D$5:$D14,"Scheduled",'🔥 Pipeline'!$F$5:$F14,"HPE"),"")</f>
        <v/>
      </c>
    </row>
    <row r="15" spans="28:30" ht="15" customHeight="1">
      <c r="AB15" t="str">
        <f>IF('🔥 Pipeline'!$D15="Scheduled",COUNTIF('🔥 Pipeline'!$D$5:$D15,"Scheduled"),"")</f>
        <v/>
      </c>
      <c r="AC15" t="str">
        <f>IF(AND('🔥 Pipeline'!$D15="Scheduled",'🔥 Pipeline'!$F15="HP"),COUNTIFS('🔥 Pipeline'!$D$5:$D15,"Scheduled",'🔥 Pipeline'!$F$5:$F15,"HP"),"")</f>
        <v/>
      </c>
      <c r="AD15" t="str">
        <f>IF(AND('🔥 Pipeline'!$D15="Scheduled",'🔥 Pipeline'!$F15="HPE"),COUNTIFS('🔥 Pipeline'!$D$5:$D15,"Scheduled",'🔥 Pipeline'!$F$5:$F15,"HPE"),"")</f>
        <v/>
      </c>
    </row>
    <row r="16" spans="28:30" ht="15" customHeight="1">
      <c r="AB16" t="str">
        <f>IF('🔥 Pipeline'!$D16="Scheduled",COUNTIF('🔥 Pipeline'!$D$5:$D16,"Scheduled"),"")</f>
        <v/>
      </c>
      <c r="AC16" t="str">
        <f>IF(AND('🔥 Pipeline'!$D16="Scheduled",'🔥 Pipeline'!$F16="HP"),COUNTIFS('🔥 Pipeline'!$D$5:$D16,"Scheduled",'🔥 Pipeline'!$F$5:$F16,"HP"),"")</f>
        <v/>
      </c>
      <c r="AD16" t="str">
        <f>IF(AND('🔥 Pipeline'!$D16="Scheduled",'🔥 Pipeline'!$F16="HPE"),COUNTIFS('🔥 Pipeline'!$D$5:$D16,"Scheduled",'🔥 Pipeline'!$F$5:$F16,"HPE"),"")</f>
        <v/>
      </c>
    </row>
    <row r="17" spans="28:30" ht="15" customHeight="1">
      <c r="AB17" t="str">
        <f>IF('🔥 Pipeline'!$D17="Scheduled",COUNTIF('🔥 Pipeline'!$D$5:$D17,"Scheduled"),"")</f>
        <v/>
      </c>
      <c r="AC17" t="str">
        <f>IF(AND('🔥 Pipeline'!$D17="Scheduled",'🔥 Pipeline'!$F17="HP"),COUNTIFS('🔥 Pipeline'!$D$5:$D17,"Scheduled",'🔥 Pipeline'!$F$5:$F17,"HP"),"")</f>
        <v/>
      </c>
      <c r="AD17" t="str">
        <f>IF(AND('🔥 Pipeline'!$D17="Scheduled",'🔥 Pipeline'!$F17="HPE"),COUNTIFS('🔥 Pipeline'!$D$5:$D17,"Scheduled",'🔥 Pipeline'!$F$5:$F17,"HPE"),"")</f>
        <v/>
      </c>
    </row>
    <row r="18" spans="28:30" ht="15" customHeight="1">
      <c r="AB18" t="str">
        <f>IF('🔥 Pipeline'!$D18="Scheduled",COUNTIF('🔥 Pipeline'!$D$5:$D18,"Scheduled"),"")</f>
        <v/>
      </c>
      <c r="AC18" t="str">
        <f>IF(AND('🔥 Pipeline'!$D18="Scheduled",'🔥 Pipeline'!$F18="HP"),COUNTIFS('🔥 Pipeline'!$D$5:$D18,"Scheduled",'🔥 Pipeline'!$F$5:$F18,"HP"),"")</f>
        <v/>
      </c>
      <c r="AD18" t="str">
        <f>IF(AND('🔥 Pipeline'!$D18="Scheduled",'🔥 Pipeline'!$F18="HPE"),COUNTIFS('🔥 Pipeline'!$D$5:$D18,"Scheduled",'🔥 Pipeline'!$F$5:$F18,"HPE"),"")</f>
        <v/>
      </c>
    </row>
    <row r="19" spans="28:30" ht="15" customHeight="1">
      <c r="AB19" t="str">
        <f>IF('🔥 Pipeline'!$D19="Scheduled",COUNTIF('🔥 Pipeline'!$D$5:$D19,"Scheduled"),"")</f>
        <v/>
      </c>
      <c r="AC19" t="str">
        <f>IF(AND('🔥 Pipeline'!$D19="Scheduled",'🔥 Pipeline'!$F19="HP"),COUNTIFS('🔥 Pipeline'!$D$5:$D19,"Scheduled",'🔥 Pipeline'!$F$5:$F19,"HP"),"")</f>
        <v/>
      </c>
      <c r="AD19" t="str">
        <f>IF(AND('🔥 Pipeline'!$D19="Scheduled",'🔥 Pipeline'!$F19="HPE"),COUNTIFS('🔥 Pipeline'!$D$5:$D19,"Scheduled",'🔥 Pipeline'!$F$5:$F19,"HPE"),"")</f>
        <v/>
      </c>
    </row>
    <row r="20" spans="28:30" ht="15" customHeight="1">
      <c r="AB20" t="str">
        <f>IF('🔥 Pipeline'!$D20="Scheduled",COUNTIF('🔥 Pipeline'!$D$5:$D20,"Scheduled"),"")</f>
        <v/>
      </c>
      <c r="AC20" t="str">
        <f>IF(AND('🔥 Pipeline'!$D20="Scheduled",'🔥 Pipeline'!$F20="HP"),COUNTIFS('🔥 Pipeline'!$D$5:$D20,"Scheduled",'🔥 Pipeline'!$F$5:$F20,"HP"),"")</f>
        <v/>
      </c>
      <c r="AD20" t="str">
        <f>IF(AND('🔥 Pipeline'!$D20="Scheduled",'🔥 Pipeline'!$F20="HPE"),COUNTIFS('🔥 Pipeline'!$D$5:$D20,"Scheduled",'🔥 Pipeline'!$F$5:$F20,"HPE"),"")</f>
        <v/>
      </c>
    </row>
    <row r="21" spans="28:30" ht="15" customHeight="1">
      <c r="AB21" t="str">
        <f>IF('🔥 Pipeline'!$D21="Scheduled",COUNTIF('🔥 Pipeline'!$D$5:$D21,"Scheduled"),"")</f>
        <v/>
      </c>
      <c r="AC21" t="str">
        <f>IF(AND('🔥 Pipeline'!$D21="Scheduled",'🔥 Pipeline'!$F21="HP"),COUNTIFS('🔥 Pipeline'!$D$5:$D21,"Scheduled",'🔥 Pipeline'!$F$5:$F21,"HP"),"")</f>
        <v/>
      </c>
      <c r="AD21" t="str">
        <f>IF(AND('🔥 Pipeline'!$D21="Scheduled",'🔥 Pipeline'!$F21="HPE"),COUNTIFS('🔥 Pipeline'!$D$5:$D21,"Scheduled",'🔥 Pipeline'!$F$5:$F21,"HPE"),"")</f>
        <v/>
      </c>
    </row>
    <row r="22" spans="28:30" ht="15" customHeight="1">
      <c r="AB22" t="str">
        <f>IF('🔥 Pipeline'!$D22="Scheduled",COUNTIF('🔥 Pipeline'!$D$5:$D22,"Scheduled"),"")</f>
        <v/>
      </c>
      <c r="AC22" t="str">
        <f>IF(AND('🔥 Pipeline'!$D22="Scheduled",'🔥 Pipeline'!$F22="HP"),COUNTIFS('🔥 Pipeline'!$D$5:$D22,"Scheduled",'🔥 Pipeline'!$F$5:$F22,"HP"),"")</f>
        <v/>
      </c>
      <c r="AD22" t="str">
        <f>IF(AND('🔥 Pipeline'!$D22="Scheduled",'🔥 Pipeline'!$F22="HPE"),COUNTIFS('🔥 Pipeline'!$D$5:$D22,"Scheduled",'🔥 Pipeline'!$F$5:$F22,"HPE"),"")</f>
        <v/>
      </c>
    </row>
    <row r="23" spans="28:30" ht="15" customHeight="1">
      <c r="AB23" t="str">
        <f>IF('🔥 Pipeline'!$D23="Scheduled",COUNTIF('🔥 Pipeline'!$D$5:$D23,"Scheduled"),"")</f>
        <v/>
      </c>
      <c r="AC23" t="str">
        <f>IF(AND('🔥 Pipeline'!$D23="Scheduled",'🔥 Pipeline'!$F23="HP"),COUNTIFS('🔥 Pipeline'!$D$5:$D23,"Scheduled",'🔥 Pipeline'!$F$5:$F23,"HP"),"")</f>
        <v/>
      </c>
      <c r="AD23" t="str">
        <f>IF(AND('🔥 Pipeline'!$D23="Scheduled",'🔥 Pipeline'!$F23="HPE"),COUNTIFS('🔥 Pipeline'!$D$5:$D23,"Scheduled",'🔥 Pipeline'!$F$5:$F23,"HPE"),"")</f>
        <v/>
      </c>
    </row>
    <row r="24" spans="28:30" ht="15" customHeight="1">
      <c r="AB24" t="str">
        <f>IF('🔥 Pipeline'!$D24="Scheduled",COUNTIF('🔥 Pipeline'!$D$5:$D24,"Scheduled"),"")</f>
        <v/>
      </c>
      <c r="AC24" t="str">
        <f>IF(AND('🔥 Pipeline'!$D24="Scheduled",'🔥 Pipeline'!$F24="HP"),COUNTIFS('🔥 Pipeline'!$D$5:$D24,"Scheduled",'🔥 Pipeline'!$F$5:$F24,"HP"),"")</f>
        <v/>
      </c>
      <c r="AD24" t="str">
        <f>IF(AND('🔥 Pipeline'!$D24="Scheduled",'🔥 Pipeline'!$F24="HPE"),COUNTIFS('🔥 Pipeline'!$D$5:$D24,"Scheduled",'🔥 Pipeline'!$F$5:$F24,"HPE"),"")</f>
        <v/>
      </c>
    </row>
    <row r="25" spans="28:30" ht="15" customHeight="1">
      <c r="AB25" t="str">
        <f>IF('🔥 Pipeline'!$D25="Scheduled",COUNTIF('🔥 Pipeline'!$D$5:$D25,"Scheduled"),"")</f>
        <v/>
      </c>
      <c r="AC25" t="str">
        <f>IF(AND('🔥 Pipeline'!$D25="Scheduled",'🔥 Pipeline'!$F25="HP"),COUNTIFS('🔥 Pipeline'!$D$5:$D25,"Scheduled",'🔥 Pipeline'!$F$5:$F25,"HP"),"")</f>
        <v/>
      </c>
      <c r="AD25" t="str">
        <f>IF(AND('🔥 Pipeline'!$D25="Scheduled",'🔥 Pipeline'!$F25="HPE"),COUNTIFS('🔥 Pipeline'!$D$5:$D25,"Scheduled",'🔥 Pipeline'!$F$5:$F25,"HPE"),"")</f>
        <v/>
      </c>
    </row>
    <row r="26" spans="28:30" ht="15" customHeight="1">
      <c r="AB26" t="str">
        <f>IF('🔥 Pipeline'!$D26="Scheduled",COUNTIF('🔥 Pipeline'!$D$5:$D26,"Scheduled"),"")</f>
        <v/>
      </c>
      <c r="AC26" t="str">
        <f>IF(AND('🔥 Pipeline'!$D26="Scheduled",'🔥 Pipeline'!$F26="HP"),COUNTIFS('🔥 Pipeline'!$D$5:$D26,"Scheduled",'🔥 Pipeline'!$F$5:$F26,"HP"),"")</f>
        <v/>
      </c>
      <c r="AD26" t="str">
        <f>IF(AND('🔥 Pipeline'!$D26="Scheduled",'🔥 Pipeline'!$F26="HPE"),COUNTIFS('🔥 Pipeline'!$D$5:$D26,"Scheduled",'🔥 Pipeline'!$F$5:$F26,"HPE"),"")</f>
        <v/>
      </c>
    </row>
    <row r="27" spans="28:30" ht="15" customHeight="1">
      <c r="AB27" t="str">
        <f>IF('🔥 Pipeline'!$D27="Scheduled",COUNTIF('🔥 Pipeline'!$D$5:$D27,"Scheduled"),"")</f>
        <v/>
      </c>
      <c r="AC27" t="str">
        <f>IF(AND('🔥 Pipeline'!$D27="Scheduled",'🔥 Pipeline'!$F27="HP"),COUNTIFS('🔥 Pipeline'!$D$5:$D27,"Scheduled",'🔥 Pipeline'!$F$5:$F27,"HP"),"")</f>
        <v/>
      </c>
      <c r="AD27" t="str">
        <f>IF(AND('🔥 Pipeline'!$D27="Scheduled",'🔥 Pipeline'!$F27="HPE"),COUNTIFS('🔥 Pipeline'!$D$5:$D27,"Scheduled",'🔥 Pipeline'!$F$5:$F27,"HPE"),"")</f>
        <v/>
      </c>
    </row>
    <row r="28" spans="28:30" ht="15" customHeight="1">
      <c r="AB28" t="str">
        <f>IF('🔥 Pipeline'!$D28="Scheduled",COUNTIF('🔥 Pipeline'!$D$5:$D28,"Scheduled"),"")</f>
        <v/>
      </c>
      <c r="AC28" t="str">
        <f>IF(AND('🔥 Pipeline'!$D28="Scheduled",'🔥 Pipeline'!$F28="HP"),COUNTIFS('🔥 Pipeline'!$D$5:$D28,"Scheduled",'🔥 Pipeline'!$F$5:$F28,"HP"),"")</f>
        <v/>
      </c>
      <c r="AD28" t="str">
        <f>IF(AND('🔥 Pipeline'!$D28="Scheduled",'🔥 Pipeline'!$F28="HPE"),COUNTIFS('🔥 Pipeline'!$D$5:$D28,"Scheduled",'🔥 Pipeline'!$F$5:$F28,"HPE"),"")</f>
        <v/>
      </c>
    </row>
    <row r="29" spans="28:30" ht="15" customHeight="1">
      <c r="AB29" t="str">
        <f>IF('🔥 Pipeline'!$D29="Scheduled",COUNTIF('🔥 Pipeline'!$D$5:$D29,"Scheduled"),"")</f>
        <v/>
      </c>
      <c r="AC29" t="str">
        <f>IF(AND('🔥 Pipeline'!$D29="Scheduled",'🔥 Pipeline'!$F29="HP"),COUNTIFS('🔥 Pipeline'!$D$5:$D29,"Scheduled",'🔥 Pipeline'!$F$5:$F29,"HP"),"")</f>
        <v/>
      </c>
      <c r="AD29" t="str">
        <f>IF(AND('🔥 Pipeline'!$D29="Scheduled",'🔥 Pipeline'!$F29="HPE"),COUNTIFS('🔥 Pipeline'!$D$5:$D29,"Scheduled",'🔥 Pipeline'!$F$5:$F29,"HPE"),"")</f>
        <v/>
      </c>
    </row>
    <row r="30" spans="28:30" ht="15" customHeight="1">
      <c r="AB30" t="str">
        <f>IF('🔥 Pipeline'!$D30="Scheduled",COUNTIF('🔥 Pipeline'!$D$5:$D30,"Scheduled"),"")</f>
        <v/>
      </c>
      <c r="AC30" t="str">
        <f>IF(AND('🔥 Pipeline'!$D30="Scheduled",'🔥 Pipeline'!$F30="HP"),COUNTIFS('🔥 Pipeline'!$D$5:$D30,"Scheduled",'🔥 Pipeline'!$F$5:$F30,"HP"),"")</f>
        <v/>
      </c>
      <c r="AD30" t="str">
        <f>IF(AND('🔥 Pipeline'!$D30="Scheduled",'🔥 Pipeline'!$F30="HPE"),COUNTIFS('🔥 Pipeline'!$D$5:$D30,"Scheduled",'🔥 Pipeline'!$F$5:$F30,"HPE"),"")</f>
        <v/>
      </c>
    </row>
    <row r="31" spans="28:30" ht="15" customHeight="1">
      <c r="AB31" t="str">
        <f>IF('🔥 Pipeline'!$D31="Scheduled",COUNTIF('🔥 Pipeline'!$D$5:$D31,"Scheduled"),"")</f>
        <v/>
      </c>
      <c r="AC31" t="str">
        <f>IF(AND('🔥 Pipeline'!$D31="Scheduled",'🔥 Pipeline'!$F31="HP"),COUNTIFS('🔥 Pipeline'!$D$5:$D31,"Scheduled",'🔥 Pipeline'!$F$5:$F31,"HP"),"")</f>
        <v/>
      </c>
      <c r="AD31" t="str">
        <f>IF(AND('🔥 Pipeline'!$D31="Scheduled",'🔥 Pipeline'!$F31="HPE"),COUNTIFS('🔥 Pipeline'!$D$5:$D31,"Scheduled",'🔥 Pipeline'!$F$5:$F31,"HPE"),"")</f>
        <v/>
      </c>
    </row>
    <row r="32" spans="28:30" ht="15" customHeight="1">
      <c r="AB32" t="str">
        <f>IF('🔥 Pipeline'!$D32="Scheduled",COUNTIF('🔥 Pipeline'!$D$5:$D32,"Scheduled"),"")</f>
        <v/>
      </c>
      <c r="AC32" t="str">
        <f>IF(AND('🔥 Pipeline'!$D32="Scheduled",'🔥 Pipeline'!$F32="HP"),COUNTIFS('🔥 Pipeline'!$D$5:$D32,"Scheduled",'🔥 Pipeline'!$F$5:$F32,"HP"),"")</f>
        <v/>
      </c>
      <c r="AD32" t="str">
        <f>IF(AND('🔥 Pipeline'!$D32="Scheduled",'🔥 Pipeline'!$F32="HPE"),COUNTIFS('🔥 Pipeline'!$D$5:$D32,"Scheduled",'🔥 Pipeline'!$F$5:$F32,"HPE"),"")</f>
        <v/>
      </c>
    </row>
    <row r="33" spans="28:30" ht="15" customHeight="1">
      <c r="AB33" t="str">
        <f>IF('🔥 Pipeline'!$D33="Scheduled",COUNTIF('🔥 Pipeline'!$D$5:$D33,"Scheduled"),"")</f>
        <v/>
      </c>
      <c r="AC33" t="str">
        <f>IF(AND('🔥 Pipeline'!$D33="Scheduled",'🔥 Pipeline'!$F33="HP"),COUNTIFS('🔥 Pipeline'!$D$5:$D33,"Scheduled",'🔥 Pipeline'!$F$5:$F33,"HP"),"")</f>
        <v/>
      </c>
      <c r="AD33" t="str">
        <f>IF(AND('🔥 Pipeline'!$D33="Scheduled",'🔥 Pipeline'!$F33="HPE"),COUNTIFS('🔥 Pipeline'!$D$5:$D33,"Scheduled",'🔥 Pipeline'!$F$5:$F33,"HPE"),"")</f>
        <v/>
      </c>
    </row>
    <row r="34" spans="28:30" ht="15" customHeight="1">
      <c r="AB34" t="str">
        <f>IF('🔥 Pipeline'!$D34="Scheduled",COUNTIF('🔥 Pipeline'!$D$5:$D34,"Scheduled"),"")</f>
        <v/>
      </c>
      <c r="AC34" t="str">
        <f>IF(AND('🔥 Pipeline'!$D34="Scheduled",'🔥 Pipeline'!$F34="HP"),COUNTIFS('🔥 Pipeline'!$D$5:$D34,"Scheduled",'🔥 Pipeline'!$F$5:$F34,"HP"),"")</f>
        <v/>
      </c>
      <c r="AD34" t="str">
        <f>IF(AND('🔥 Pipeline'!$D34="Scheduled",'🔥 Pipeline'!$F34="HPE"),COUNTIFS('🔥 Pipeline'!$D$5:$D34,"Scheduled",'🔥 Pipeline'!$F$5:$F34,"HPE"),"")</f>
        <v/>
      </c>
    </row>
    <row r="35" spans="28:30" ht="15" customHeight="1">
      <c r="AB35" t="str">
        <f>IF('🔥 Pipeline'!$D35="Scheduled",COUNTIF('🔥 Pipeline'!$D$5:$D35,"Scheduled"),"")</f>
        <v/>
      </c>
      <c r="AC35" t="str">
        <f>IF(AND('🔥 Pipeline'!$D35="Scheduled",'🔥 Pipeline'!$F35="HP"),COUNTIFS('🔥 Pipeline'!$D$5:$D35,"Scheduled",'🔥 Pipeline'!$F$5:$F35,"HP"),"")</f>
        <v/>
      </c>
      <c r="AD35" t="str">
        <f>IF(AND('🔥 Pipeline'!$D35="Scheduled",'🔥 Pipeline'!$F35="HPE"),COUNTIFS('🔥 Pipeline'!$D$5:$D35,"Scheduled",'🔥 Pipeline'!$F$5:$F35,"HPE"),"")</f>
        <v/>
      </c>
    </row>
    <row r="36" spans="28:30" ht="15" customHeight="1">
      <c r="AB36" t="str">
        <f>IF('🔥 Pipeline'!$D36="Scheduled",COUNTIF('🔥 Pipeline'!$D$5:$D36,"Scheduled"),"")</f>
        <v/>
      </c>
      <c r="AC36" t="str">
        <f>IF(AND('🔥 Pipeline'!$D36="Scheduled",'🔥 Pipeline'!$F36="HP"),COUNTIFS('🔥 Pipeline'!$D$5:$D36,"Scheduled",'🔥 Pipeline'!$F$5:$F36,"HP"),"")</f>
        <v/>
      </c>
      <c r="AD36" t="str">
        <f>IF(AND('🔥 Pipeline'!$D36="Scheduled",'🔥 Pipeline'!$F36="HPE"),COUNTIFS('🔥 Pipeline'!$D$5:$D36,"Scheduled",'🔥 Pipeline'!$F$5:$F36,"HPE"),"")</f>
        <v/>
      </c>
    </row>
    <row r="37" spans="28:30" ht="15" customHeight="1">
      <c r="AB37" t="str">
        <f>IF('🔥 Pipeline'!$D37="Scheduled",COUNTIF('🔥 Pipeline'!$D$5:$D37,"Scheduled"),"")</f>
        <v/>
      </c>
      <c r="AC37" t="str">
        <f>IF(AND('🔥 Pipeline'!$D37="Scheduled",'🔥 Pipeline'!$F37="HP"),COUNTIFS('🔥 Pipeline'!$D$5:$D37,"Scheduled",'🔥 Pipeline'!$F$5:$F37,"HP"),"")</f>
        <v/>
      </c>
      <c r="AD37" t="str">
        <f>IF(AND('🔥 Pipeline'!$D37="Scheduled",'🔥 Pipeline'!$F37="HPE"),COUNTIFS('🔥 Pipeline'!$D$5:$D37,"Scheduled",'🔥 Pipeline'!$F$5:$F37,"HPE"),"")</f>
        <v/>
      </c>
    </row>
    <row r="38" spans="28:30" ht="15" customHeight="1">
      <c r="AB38" t="str">
        <f>IF('🔥 Pipeline'!$D38="Scheduled",COUNTIF('🔥 Pipeline'!$D$5:$D38,"Scheduled"),"")</f>
        <v/>
      </c>
      <c r="AC38" t="str">
        <f>IF(AND('🔥 Pipeline'!$D38="Scheduled",'🔥 Pipeline'!$F38="HP"),COUNTIFS('🔥 Pipeline'!$D$5:$D38,"Scheduled",'🔥 Pipeline'!$F$5:$F38,"HP"),"")</f>
        <v/>
      </c>
      <c r="AD38" t="str">
        <f>IF(AND('🔥 Pipeline'!$D38="Scheduled",'🔥 Pipeline'!$F38="HPE"),COUNTIFS('🔥 Pipeline'!$D$5:$D38,"Scheduled",'🔥 Pipeline'!$F$5:$F38,"HPE"),"")</f>
        <v/>
      </c>
    </row>
    <row r="39" spans="28:30" ht="15" customHeight="1">
      <c r="AB39" t="str">
        <f>IF('🔥 Pipeline'!$D39="Scheduled",COUNTIF('🔥 Pipeline'!$D$5:$D39,"Scheduled"),"")</f>
        <v/>
      </c>
      <c r="AC39" t="str">
        <f>IF(AND('🔥 Pipeline'!$D39="Scheduled",'🔥 Pipeline'!$F39="HP"),COUNTIFS('🔥 Pipeline'!$D$5:$D39,"Scheduled",'🔥 Pipeline'!$F$5:$F39,"HP"),"")</f>
        <v/>
      </c>
      <c r="AD39" t="str">
        <f>IF(AND('🔥 Pipeline'!$D39="Scheduled",'🔥 Pipeline'!$F39="HPE"),COUNTIFS('🔥 Pipeline'!$D$5:$D39,"Scheduled",'🔥 Pipeline'!$F$5:$F39,"HPE"),"")</f>
        <v/>
      </c>
    </row>
    <row r="40" spans="28:30" ht="15" customHeight="1">
      <c r="AB40" t="str">
        <f>IF('🔥 Pipeline'!$D40="Scheduled",COUNTIF('🔥 Pipeline'!$D$5:$D40,"Scheduled"),"")</f>
        <v/>
      </c>
      <c r="AC40" t="str">
        <f>IF(AND('🔥 Pipeline'!$D40="Scheduled",'🔥 Pipeline'!$F40="HP"),COUNTIFS('🔥 Pipeline'!$D$5:$D40,"Scheduled",'🔥 Pipeline'!$F$5:$F40,"HP"),"")</f>
        <v/>
      </c>
      <c r="AD40" t="str">
        <f>IF(AND('🔥 Pipeline'!$D40="Scheduled",'🔥 Pipeline'!$F40="HPE"),COUNTIFS('🔥 Pipeline'!$D$5:$D40,"Scheduled",'🔥 Pipeline'!$F$5:$F40,"HPE"),"")</f>
        <v/>
      </c>
    </row>
    <row r="41" spans="28:30" ht="15" hidden="1" customHeight="1"/>
    <row r="42" spans="28:30" ht="15" hidden="1" customHeight="1"/>
    <row r="43" spans="28:30" ht="15" hidden="1" customHeight="1"/>
    <row r="44" spans="28:30" ht="15" hidden="1" customHeight="1"/>
    <row r="45" spans="28:30" ht="15" hidden="1" customHeight="1"/>
    <row r="46" spans="28:30" ht="15" hidden="1" customHeight="1"/>
    <row r="47" spans="28:30" ht="15" hidden="1" customHeight="1"/>
    <row r="48" spans="28:30"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13"/>
  <sheetViews>
    <sheetView showGridLines="0" zoomScale="140" zoomScaleNormal="140" workbookViewId="0"/>
  </sheetViews>
  <sheetFormatPr defaultColWidth="0" defaultRowHeight="15"/>
  <cols>
    <col min="1" max="1" width="23" customWidth="1"/>
    <col min="2" max="2" width="12" customWidth="1"/>
    <col min="3" max="3" width="18" customWidth="1"/>
    <col min="4" max="4" width="14" customWidth="1"/>
    <col min="5" max="16384" width="13" hidden="1"/>
  </cols>
  <sheetData>
    <row r="1" spans="1:4" ht="25.5" customHeight="1">
      <c r="A1" s="331" t="s">
        <v>796</v>
      </c>
      <c r="B1" s="331"/>
      <c r="C1" s="331"/>
      <c r="D1" s="331"/>
    </row>
    <row r="2" spans="1:4" ht="15" customHeight="1">
      <c r="A2" s="332" t="s">
        <v>797</v>
      </c>
      <c r="B2" s="332"/>
      <c r="C2" s="332"/>
      <c r="D2" s="332"/>
    </row>
    <row r="4" spans="1:4" ht="15" customHeight="1">
      <c r="A4" s="271" t="s">
        <v>798</v>
      </c>
      <c r="B4" s="272" t="s">
        <v>799</v>
      </c>
      <c r="C4" s="272" t="s">
        <v>800</v>
      </c>
      <c r="D4" s="272" t="s">
        <v>65</v>
      </c>
    </row>
    <row r="5" spans="1:4" ht="15" customHeight="1">
      <c r="A5" s="273" t="s">
        <v>149</v>
      </c>
      <c r="B5" s="274">
        <f>COUNTIF('🔥 Pipeline'!$K$5:$K$40,$A5)</f>
        <v>8</v>
      </c>
      <c r="C5" s="274">
        <f>COUNTIF('📋 May 2026'!$K$5:$K$60,$A5)+COUNTIF('📋 Jun 2026'!$K$5:$K$60,$A5)+COUNTIF('📋 Jul 2026'!$K$5:$K$60,$A5)+COUNTIF('📋 Aug 2026'!$K$5:$K$60,$A5)+COUNTIF('📋 Sep 2026'!$K$5:$K$60,$A5)+COUNTIF('📋 Oct 2026'!$K$5:$K$60,$A5)+COUNTIF('📋 Nov 2026'!$K$5:$K$60,$A5)+COUNTIF('📋 Dec 2026'!$K$5:$K$60,$A5)</f>
        <v>11</v>
      </c>
      <c r="D5" s="275">
        <f>IFERROR(COUNTIFS('🔥 Pipeline'!$K$5:$K$40,$A5,'🔥 Pipeline'!$P$5:$P$40,"Admitted")/B5,"—")</f>
        <v>0</v>
      </c>
    </row>
    <row r="6" spans="1:4" ht="15" customHeight="1">
      <c r="A6" s="276" t="s">
        <v>248</v>
      </c>
      <c r="B6" s="277">
        <f>COUNTIF('🔥 Pipeline'!$K$5:$K$40,$A6)</f>
        <v>2</v>
      </c>
      <c r="C6" s="277">
        <f>COUNTIF('📋 May 2026'!$K$5:$K$60,$A6)+COUNTIF('📋 Jun 2026'!$K$5:$K$60,$A6)+COUNTIF('📋 Jul 2026'!$K$5:$K$60,$A6)+COUNTIF('📋 Aug 2026'!$K$5:$K$60,$A6)+COUNTIF('📋 Sep 2026'!$K$5:$K$60,$A6)+COUNTIF('📋 Oct 2026'!$K$5:$K$60,$A6)+COUNTIF('📋 Nov 2026'!$K$5:$K$60,$A6)+COUNTIF('📋 Dec 2026'!$K$5:$K$60,$A6)</f>
        <v>17</v>
      </c>
      <c r="D6" s="278">
        <f>IFERROR(COUNTIFS('🔥 Pipeline'!$K$5:$K$40,$A6,'🔥 Pipeline'!$P$5:$P$40,"Admitted")/B6,"—")</f>
        <v>0</v>
      </c>
    </row>
    <row r="7" spans="1:4" ht="15" customHeight="1">
      <c r="A7" s="273" t="s">
        <v>255</v>
      </c>
      <c r="B7" s="274">
        <f>COUNTIF('🔥 Pipeline'!$K$5:$K$40,$A7)</f>
        <v>1</v>
      </c>
      <c r="C7" s="274">
        <f>COUNTIF('📋 May 2026'!$K$5:$K$60,$A7)+COUNTIF('📋 Jun 2026'!$K$5:$K$60,$A7)+COUNTIF('📋 Jul 2026'!$K$5:$K$60,$A7)+COUNTIF('📋 Aug 2026'!$K$5:$K$60,$A7)+COUNTIF('📋 Sep 2026'!$K$5:$K$60,$A7)+COUNTIF('📋 Oct 2026'!$K$5:$K$60,$A7)+COUNTIF('📋 Nov 2026'!$K$5:$K$60,$A7)+COUNTIF('📋 Dec 2026'!$K$5:$K$60,$A7)</f>
        <v>0</v>
      </c>
      <c r="D7" s="275">
        <f>IFERROR(COUNTIFS('🔥 Pipeline'!$K$5:$K$40,$A7,'🔥 Pipeline'!$P$5:$P$40,"Admitted")/B7,"—")</f>
        <v>0</v>
      </c>
    </row>
    <row r="8" spans="1:4" ht="15" customHeight="1">
      <c r="A8" s="276" t="s">
        <v>106</v>
      </c>
      <c r="B8" s="277">
        <f>COUNTIF('🔥 Pipeline'!$K$5:$K$40,$A8)</f>
        <v>0</v>
      </c>
      <c r="C8" s="277">
        <f>COUNTIF('📋 May 2026'!$K$5:$K$60,$A8)+COUNTIF('📋 Jun 2026'!$K$5:$K$60,$A8)+COUNTIF('📋 Jul 2026'!$K$5:$K$60,$A8)+COUNTIF('📋 Aug 2026'!$K$5:$K$60,$A8)+COUNTIF('📋 Sep 2026'!$K$5:$K$60,$A8)+COUNTIF('📋 Oct 2026'!$K$5:$K$60,$A8)+COUNTIF('📋 Nov 2026'!$K$5:$K$60,$A8)+COUNTIF('📋 Dec 2026'!$K$5:$K$60,$A8)</f>
        <v>13</v>
      </c>
      <c r="D8" s="278" t="str">
        <f>IFERROR(COUNTIFS('🔥 Pipeline'!$K$5:$K$40,$A8,'🔥 Pipeline'!$P$5:$P$40,"Admitted")/B8,"—")</f>
        <v>—</v>
      </c>
    </row>
    <row r="9" spans="1:4" ht="15" customHeight="1">
      <c r="A9" s="273" t="s">
        <v>222</v>
      </c>
      <c r="B9" s="274">
        <f>COUNTIF('🔥 Pipeline'!$K$5:$K$40,$A9)</f>
        <v>1</v>
      </c>
      <c r="C9" s="274">
        <f>COUNTIF('📋 May 2026'!$K$5:$K$60,$A9)+COUNTIF('📋 Jun 2026'!$K$5:$K$60,$A9)+COUNTIF('📋 Jul 2026'!$K$5:$K$60,$A9)+COUNTIF('📋 Aug 2026'!$K$5:$K$60,$A9)+COUNTIF('📋 Sep 2026'!$K$5:$K$60,$A9)+COUNTIF('📋 Oct 2026'!$K$5:$K$60,$A9)+COUNTIF('📋 Nov 2026'!$K$5:$K$60,$A9)+COUNTIF('📋 Dec 2026'!$K$5:$K$60,$A9)</f>
        <v>0</v>
      </c>
      <c r="D9" s="275">
        <f>IFERROR(COUNTIFS('🔥 Pipeline'!$K$5:$K$40,$A9,'🔥 Pipeline'!$P$5:$P$40,"Admitted")/B9,"—")</f>
        <v>0</v>
      </c>
    </row>
    <row r="10" spans="1:4" ht="15" customHeight="1">
      <c r="A10" s="276" t="s">
        <v>801</v>
      </c>
      <c r="B10" s="277">
        <f>COUNTIF('🔥 Pipeline'!$K$5:$K$40,$A10)</f>
        <v>0</v>
      </c>
      <c r="C10" s="277">
        <f>COUNTIF('📋 May 2026'!$K$5:$K$60,$A10)+COUNTIF('📋 Jun 2026'!$K$5:$K$60,$A10)+COUNTIF('📋 Jul 2026'!$K$5:$K$60,$A10)+COUNTIF('📋 Aug 2026'!$K$5:$K$60,$A10)+COUNTIF('📋 Sep 2026'!$K$5:$K$60,$A10)+COUNTIF('📋 Oct 2026'!$K$5:$K$60,$A10)+COUNTIF('📋 Nov 2026'!$K$5:$K$60,$A10)+COUNTIF('📋 Dec 2026'!$K$5:$K$60,$A10)</f>
        <v>0</v>
      </c>
      <c r="D10" s="278" t="str">
        <f>IFERROR(COUNTIFS('🔥 Pipeline'!$K$5:$K$40,$A10,'🔥 Pipeline'!$P$5:$P$40,"Admitted")/B10,"—")</f>
        <v>—</v>
      </c>
    </row>
    <row r="11" spans="1:4" ht="15" customHeight="1">
      <c r="A11" s="273" t="s">
        <v>802</v>
      </c>
      <c r="B11" s="274">
        <f>COUNTIF('🔥 Pipeline'!$K$5:$K$40,$A11)</f>
        <v>0</v>
      </c>
      <c r="C11" s="274">
        <f>COUNTIF('📋 May 2026'!$K$5:$K$60,$A11)+COUNTIF('📋 Jun 2026'!$K$5:$K$60,$A11)+COUNTIF('📋 Jul 2026'!$K$5:$K$60,$A11)+COUNTIF('📋 Aug 2026'!$K$5:$K$60,$A11)+COUNTIF('📋 Sep 2026'!$K$5:$K$60,$A11)+COUNTIF('📋 Oct 2026'!$K$5:$K$60,$A11)+COUNTIF('📋 Nov 2026'!$K$5:$K$60,$A11)+COUNTIF('📋 Dec 2026'!$K$5:$K$60,$A11)</f>
        <v>0</v>
      </c>
      <c r="D11" s="275" t="str">
        <f>IFERROR(COUNTIFS('🔥 Pipeline'!$K$5:$K$40,$A11,'🔥 Pipeline'!$P$5:$P$40,"Admitted")/B11,"—")</f>
        <v>—</v>
      </c>
    </row>
    <row r="12" spans="1:4" ht="15" customHeight="1">
      <c r="A12" s="276" t="s">
        <v>783</v>
      </c>
      <c r="B12" s="277">
        <f>COUNTIF('🔥 Pipeline'!$K$5:$K$40,$A12)</f>
        <v>0</v>
      </c>
      <c r="C12" s="277">
        <f>COUNTIF('📋 May 2026'!$K$5:$K$60,$A12)+COUNTIF('📋 Jun 2026'!$K$5:$K$60,$A12)+COUNTIF('📋 Jul 2026'!$K$5:$K$60,$A12)+COUNTIF('📋 Aug 2026'!$K$5:$K$60,$A12)+COUNTIF('📋 Sep 2026'!$K$5:$K$60,$A12)+COUNTIF('📋 Oct 2026'!$K$5:$K$60,$A12)+COUNTIF('📋 Nov 2026'!$K$5:$K$60,$A12)+COUNTIF('📋 Dec 2026'!$K$5:$K$60,$A12)</f>
        <v>0</v>
      </c>
      <c r="D12" s="278" t="str">
        <f>IFERROR(COUNTIFS('🔥 Pipeline'!$K$5:$K$40,$A12,'🔥 Pipeline'!$P$5:$P$40,"Admitted")/B12,"—")</f>
        <v>—</v>
      </c>
    </row>
    <row r="13" spans="1:4" ht="15" customHeight="1">
      <c r="A13" s="271" t="s">
        <v>237</v>
      </c>
      <c r="B13" s="272">
        <f>SUM(B5:B12)</f>
        <v>12</v>
      </c>
      <c r="C13" s="272">
        <f>SUM(C5:C12)</f>
        <v>41</v>
      </c>
      <c r="D13" s="279">
        <f>IFERROR(SUM(B5:B12)*0+IFERROR(COUNTIFS('🔥 Pipeline'!$K$5:$K$40,"&lt;&gt;",'🔥 Pipeline'!$P$5:$P$40,"Admitted"),0)/SUM(B5:B12),"—")</f>
        <v>0</v>
      </c>
    </row>
    <row r="14" spans="1:4" ht="15" hidden="1" customHeight="1"/>
    <row r="15" spans="1:4" ht="15" hidden="1" customHeight="1"/>
    <row r="16" spans="1:4" ht="15" hidden="1" customHeight="1"/>
    <row r="17" ht="15" hidden="1" customHeight="1"/>
    <row r="18" ht="15" hidden="1" customHeight="1"/>
    <row r="19" ht="15" hidden="1" customHeight="1"/>
    <row r="20" ht="15" hidden="1" customHeight="1"/>
    <row r="21" ht="15" hidden="1" customHeight="1"/>
    <row r="22" ht="15" hidden="1" customHeight="1"/>
    <row r="23" ht="15" hidden="1" customHeight="1"/>
    <row r="24" ht="15" hidden="1" customHeight="1"/>
    <row r="25" ht="15" hidden="1" customHeight="1"/>
    <row r="26" ht="15" hidden="1" customHeight="1"/>
    <row r="27" ht="15" hidden="1" customHeight="1"/>
    <row r="28" ht="15" hidden="1" customHeight="1"/>
    <row r="29" ht="15" hidden="1" customHeight="1"/>
    <row r="30" ht="15" hidden="1" customHeight="1"/>
    <row r="31" ht="15" hidden="1" customHeight="1"/>
    <row r="32"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sheetData>
  <mergeCells count="2">
    <mergeCell ref="A1:D1"/>
    <mergeCell ref="A2:D2"/>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15"/>
  <sheetViews>
    <sheetView showGridLines="0" zoomScale="140" zoomScaleNormal="140" workbookViewId="0"/>
  </sheetViews>
  <sheetFormatPr defaultColWidth="0" defaultRowHeight="15"/>
  <cols>
    <col min="1" max="1" width="22" customWidth="1"/>
    <col min="2" max="2" width="12" customWidth="1"/>
    <col min="3" max="3" width="18" customWidth="1"/>
    <col min="4" max="4" width="14" customWidth="1"/>
    <col min="5" max="16384" width="13" hidden="1"/>
  </cols>
  <sheetData>
    <row r="1" spans="1:4" ht="25.5" customHeight="1">
      <c r="A1" s="331" t="s">
        <v>803</v>
      </c>
      <c r="B1" s="331"/>
      <c r="C1" s="331"/>
      <c r="D1" s="331"/>
    </row>
    <row r="2" spans="1:4" ht="15" customHeight="1">
      <c r="A2" s="332" t="s">
        <v>797</v>
      </c>
      <c r="B2" s="332"/>
      <c r="C2" s="332"/>
      <c r="D2" s="332"/>
    </row>
    <row r="4" spans="1:4" ht="15" customHeight="1">
      <c r="A4" s="271" t="s">
        <v>21</v>
      </c>
      <c r="B4" s="272" t="s">
        <v>799</v>
      </c>
      <c r="C4" s="272" t="s">
        <v>800</v>
      </c>
      <c r="D4" s="272" t="s">
        <v>65</v>
      </c>
    </row>
    <row r="5" spans="1:4" ht="15" customHeight="1">
      <c r="A5" s="273" t="s">
        <v>112</v>
      </c>
      <c r="B5" s="274">
        <f>COUNTIF('🔥 Pipeline'!$I$5:$I$40,$A5)</f>
        <v>3</v>
      </c>
      <c r="C5" s="274">
        <f>COUNTIF('📋 May 2026'!$M$5:$M$60,$A5)+COUNTIF('📋 Jun 2026'!$M$5:$M$60,$A5)+COUNTIF('📋 Jul 2026'!$M$5:$M$60,$A5)+COUNTIF('📋 Aug 2026'!$M$5:$M$60,$A5)+COUNTIF('📋 Sep 2026'!$M$5:$M$60,$A5)+COUNTIF('📋 Oct 2026'!$M$5:$M$60,$A5)+COUNTIF('📋 Nov 2026'!$M$5:$M$60,$A5)+COUNTIF('📋 Dec 2026'!$M$5:$M$60,$A5)</f>
        <v>4</v>
      </c>
      <c r="D5" s="275">
        <f>IFERROR(COUNTIFS('🔥 Pipeline'!$I$5:$I$40,$A5,'🔥 Pipeline'!$P$5:$P$40,"Admitted")/B5,"—")</f>
        <v>0</v>
      </c>
    </row>
    <row r="6" spans="1:4" ht="15" customHeight="1">
      <c r="A6" s="276" t="s">
        <v>123</v>
      </c>
      <c r="B6" s="277">
        <f>COUNTIF('🔥 Pipeline'!$I$5:$I$40,$A6)</f>
        <v>1</v>
      </c>
      <c r="C6" s="277">
        <f>COUNTIF('📋 May 2026'!$M$5:$M$60,$A6)+COUNTIF('📋 Jun 2026'!$M$5:$M$60,$A6)+COUNTIF('📋 Jul 2026'!$M$5:$M$60,$A6)+COUNTIF('📋 Aug 2026'!$M$5:$M$60,$A6)+COUNTIF('📋 Sep 2026'!$M$5:$M$60,$A6)+COUNTIF('📋 Oct 2026'!$M$5:$M$60,$A6)+COUNTIF('📋 Nov 2026'!$M$5:$M$60,$A6)+COUNTIF('📋 Dec 2026'!$M$5:$M$60,$A6)</f>
        <v>3</v>
      </c>
      <c r="D6" s="278">
        <f>IFERROR(COUNTIFS('🔥 Pipeline'!$I$5:$I$40,$A6,'🔥 Pipeline'!$P$5:$P$40,"Admitted")/B6,"—")</f>
        <v>0</v>
      </c>
    </row>
    <row r="7" spans="1:4" ht="15" customHeight="1">
      <c r="A7" s="273" t="s">
        <v>105</v>
      </c>
      <c r="B7" s="274">
        <f>COUNTIF('🔥 Pipeline'!$I$5:$I$40,$A7)</f>
        <v>0</v>
      </c>
      <c r="C7" s="274">
        <f>COUNTIF('📋 May 2026'!$M$5:$M$60,$A7)+COUNTIF('📋 Jun 2026'!$M$5:$M$60,$A7)+COUNTIF('📋 Jul 2026'!$M$5:$M$60,$A7)+COUNTIF('📋 Aug 2026'!$M$5:$M$60,$A7)+COUNTIF('📋 Sep 2026'!$M$5:$M$60,$A7)+COUNTIF('📋 Oct 2026'!$M$5:$M$60,$A7)+COUNTIF('📋 Nov 2026'!$M$5:$M$60,$A7)+COUNTIF('📋 Dec 2026'!$M$5:$M$60,$A7)</f>
        <v>21</v>
      </c>
      <c r="D7" s="275" t="str">
        <f>IFERROR(COUNTIFS('🔥 Pipeline'!$I$5:$I$40,$A7,'🔥 Pipeline'!$P$5:$P$40,"Admitted")/B7,"—")</f>
        <v>—</v>
      </c>
    </row>
    <row r="8" spans="1:4" ht="15" customHeight="1">
      <c r="A8" s="276" t="s">
        <v>804</v>
      </c>
      <c r="B8" s="277">
        <f>COUNTIF('🔥 Pipeline'!$I$5:$I$40,$A8)</f>
        <v>0</v>
      </c>
      <c r="C8" s="277">
        <f>COUNTIF('📋 May 2026'!$M$5:$M$60,$A8)+COUNTIF('📋 Jun 2026'!$M$5:$M$60,$A8)+COUNTIF('📋 Jul 2026'!$M$5:$M$60,$A8)+COUNTIF('📋 Aug 2026'!$M$5:$M$60,$A8)+COUNTIF('📋 Sep 2026'!$M$5:$M$60,$A8)+COUNTIF('📋 Oct 2026'!$M$5:$M$60,$A8)+COUNTIF('📋 Nov 2026'!$M$5:$M$60,$A8)+COUNTIF('📋 Dec 2026'!$M$5:$M$60,$A8)</f>
        <v>0</v>
      </c>
      <c r="D8" s="278" t="str">
        <f>IFERROR(COUNTIFS('🔥 Pipeline'!$I$5:$I$40,$A8,'🔥 Pipeline'!$P$5:$P$40,"Admitted")/B8,"—")</f>
        <v>—</v>
      </c>
    </row>
    <row r="9" spans="1:4" ht="15" customHeight="1">
      <c r="A9" s="273" t="s">
        <v>344</v>
      </c>
      <c r="B9" s="274">
        <f>COUNTIF('🔥 Pipeline'!$I$5:$I$40,$A9)</f>
        <v>0</v>
      </c>
      <c r="C9" s="274">
        <f>COUNTIF('📋 May 2026'!$M$5:$M$60,$A9)+COUNTIF('📋 Jun 2026'!$M$5:$M$60,$A9)+COUNTIF('📋 Jul 2026'!$M$5:$M$60,$A9)+COUNTIF('📋 Aug 2026'!$M$5:$M$60,$A9)+COUNTIF('📋 Sep 2026'!$M$5:$M$60,$A9)+COUNTIF('📋 Oct 2026'!$M$5:$M$60,$A9)+COUNTIF('📋 Nov 2026'!$M$5:$M$60,$A9)+COUNTIF('📋 Dec 2026'!$M$5:$M$60,$A9)</f>
        <v>2</v>
      </c>
      <c r="D9" s="275" t="str">
        <f>IFERROR(COUNTIFS('🔥 Pipeline'!$I$5:$I$40,$A9,'🔥 Pipeline'!$P$5:$P$40,"Admitted")/B9,"—")</f>
        <v>—</v>
      </c>
    </row>
    <row r="10" spans="1:4" ht="15" customHeight="1">
      <c r="A10" s="276" t="s">
        <v>167</v>
      </c>
      <c r="B10" s="277">
        <f>COUNTIF('🔥 Pipeline'!$I$5:$I$40,$A10)</f>
        <v>0</v>
      </c>
      <c r="C10" s="277">
        <f>COUNTIF('📋 May 2026'!$M$5:$M$60,$A10)+COUNTIF('📋 Jun 2026'!$M$5:$M$60,$A10)+COUNTIF('📋 Jul 2026'!$M$5:$M$60,$A10)+COUNTIF('📋 Aug 2026'!$M$5:$M$60,$A10)+COUNTIF('📋 Sep 2026'!$M$5:$M$60,$A10)+COUNTIF('📋 Oct 2026'!$M$5:$M$60,$A10)+COUNTIF('📋 Nov 2026'!$M$5:$M$60,$A10)+COUNTIF('📋 Dec 2026'!$M$5:$M$60,$A10)</f>
        <v>3</v>
      </c>
      <c r="D10" s="278" t="str">
        <f>IFERROR(COUNTIFS('🔥 Pipeline'!$I$5:$I$40,$A10,'🔥 Pipeline'!$P$5:$P$40,"Admitted")/B10,"—")</f>
        <v>—</v>
      </c>
    </row>
    <row r="11" spans="1:4" ht="15" customHeight="1">
      <c r="A11" s="273" t="s">
        <v>298</v>
      </c>
      <c r="B11" s="274">
        <f>COUNTIF('🔥 Pipeline'!$I$5:$I$40,$A11)</f>
        <v>0</v>
      </c>
      <c r="C11" s="274">
        <f>COUNTIF('📋 May 2026'!$M$5:$M$60,$A11)+COUNTIF('📋 Jun 2026'!$M$5:$M$60,$A11)+COUNTIF('📋 Jul 2026'!$M$5:$M$60,$A11)+COUNTIF('📋 Aug 2026'!$M$5:$M$60,$A11)+COUNTIF('📋 Sep 2026'!$M$5:$M$60,$A11)+COUNTIF('📋 Oct 2026'!$M$5:$M$60,$A11)+COUNTIF('📋 Nov 2026'!$M$5:$M$60,$A11)+COUNTIF('📋 Dec 2026'!$M$5:$M$60,$A11)</f>
        <v>2</v>
      </c>
      <c r="D11" s="275" t="str">
        <f>IFERROR(COUNTIFS('🔥 Pipeline'!$I$5:$I$40,$A11,'🔥 Pipeline'!$P$5:$P$40,"Admitted")/B11,"—")</f>
        <v>—</v>
      </c>
    </row>
    <row r="12" spans="1:4" ht="15" customHeight="1">
      <c r="A12" s="276" t="s">
        <v>152</v>
      </c>
      <c r="B12" s="277">
        <f>COUNTIF('🔥 Pipeline'!$I$5:$I$40,$A12)</f>
        <v>0</v>
      </c>
      <c r="C12" s="277">
        <f>COUNTIF('📋 May 2026'!$M$5:$M$60,$A12)+COUNTIF('📋 Jun 2026'!$M$5:$M$60,$A12)+COUNTIF('📋 Jul 2026'!$M$5:$M$60,$A12)+COUNTIF('📋 Aug 2026'!$M$5:$M$60,$A12)+COUNTIF('📋 Sep 2026'!$M$5:$M$60,$A12)+COUNTIF('📋 Oct 2026'!$M$5:$M$60,$A12)+COUNTIF('📋 Nov 2026'!$M$5:$M$60,$A12)+COUNTIF('📋 Dec 2026'!$M$5:$M$60,$A12)</f>
        <v>1</v>
      </c>
      <c r="D12" s="278" t="str">
        <f>IFERROR(COUNTIFS('🔥 Pipeline'!$I$5:$I$40,$A12,'🔥 Pipeline'!$P$5:$P$40,"Admitted")/B12,"—")</f>
        <v>—</v>
      </c>
    </row>
    <row r="13" spans="1:4" ht="15" customHeight="1">
      <c r="A13" s="273" t="s">
        <v>314</v>
      </c>
      <c r="B13" s="274">
        <f>COUNTIF('🔥 Pipeline'!$I$5:$I$40,$A13)</f>
        <v>0</v>
      </c>
      <c r="C13" s="274">
        <f>COUNTIF('📋 May 2026'!$M$5:$M$60,$A13)+COUNTIF('📋 Jun 2026'!$M$5:$M$60,$A13)+COUNTIF('📋 Jul 2026'!$M$5:$M$60,$A13)+COUNTIF('📋 Aug 2026'!$M$5:$M$60,$A13)+COUNTIF('📋 Sep 2026'!$M$5:$M$60,$A13)+COUNTIF('📋 Oct 2026'!$M$5:$M$60,$A13)+COUNTIF('📋 Nov 2026'!$M$5:$M$60,$A13)+COUNTIF('📋 Dec 2026'!$M$5:$M$60,$A13)</f>
        <v>1</v>
      </c>
      <c r="D13" s="275" t="str">
        <f>IFERROR(COUNTIFS('🔥 Pipeline'!$I$5:$I$40,$A13,'🔥 Pipeline'!$P$5:$P$40,"Admitted")/B13,"—")</f>
        <v>—</v>
      </c>
    </row>
    <row r="14" spans="1:4" ht="15" customHeight="1">
      <c r="A14" s="276" t="s">
        <v>783</v>
      </c>
      <c r="B14" s="277">
        <f>COUNTIF('🔥 Pipeline'!$I$5:$I$40,$A14)</f>
        <v>0</v>
      </c>
      <c r="C14" s="277">
        <f>COUNTIF('📋 May 2026'!$M$5:$M$60,$A14)+COUNTIF('📋 Jun 2026'!$M$5:$M$60,$A14)+COUNTIF('📋 Jul 2026'!$M$5:$M$60,$A14)+COUNTIF('📋 Aug 2026'!$M$5:$M$60,$A14)+COUNTIF('📋 Sep 2026'!$M$5:$M$60,$A14)+COUNTIF('📋 Oct 2026'!$M$5:$M$60,$A14)+COUNTIF('📋 Nov 2026'!$M$5:$M$60,$A14)+COUNTIF('📋 Dec 2026'!$M$5:$M$60,$A14)</f>
        <v>0</v>
      </c>
      <c r="D14" s="278" t="str">
        <f>IFERROR(COUNTIFS('🔥 Pipeline'!$I$5:$I$40,$A14,'🔥 Pipeline'!$P$5:$P$40,"Admitted")/B14,"—")</f>
        <v>—</v>
      </c>
    </row>
    <row r="15" spans="1:4" ht="15" customHeight="1">
      <c r="A15" s="271" t="s">
        <v>237</v>
      </c>
      <c r="B15" s="272">
        <f>SUM(B5:B14)</f>
        <v>4</v>
      </c>
      <c r="C15" s="272">
        <f>SUM(C5:C14)</f>
        <v>37</v>
      </c>
      <c r="D15" s="279">
        <f>IFERROR(SUM(B5:B14)*0+IFERROR(COUNTIFS('🔥 Pipeline'!$I$5:$I$40,"&lt;&gt;",'🔥 Pipeline'!$P$5:$P$40,"Admitted"),0)/SUM(B5:B14),"—")</f>
        <v>0</v>
      </c>
    </row>
    <row r="16" spans="1:4" ht="15" hidden="1" customHeight="1"/>
    <row r="17" ht="15" hidden="1" customHeight="1"/>
    <row r="18" ht="15" hidden="1" customHeight="1"/>
    <row r="19" ht="15" hidden="1" customHeight="1"/>
    <row r="20" ht="15" hidden="1" customHeight="1"/>
    <row r="21" ht="15" hidden="1" customHeight="1"/>
    <row r="22" ht="15" hidden="1" customHeight="1"/>
    <row r="23" ht="15" hidden="1" customHeight="1"/>
    <row r="24" ht="15" hidden="1" customHeight="1"/>
    <row r="25" ht="15" hidden="1" customHeight="1"/>
    <row r="26" ht="15" hidden="1" customHeight="1"/>
    <row r="27" ht="15" hidden="1" customHeight="1"/>
    <row r="28" ht="15" hidden="1" customHeight="1"/>
    <row r="29" ht="15" hidden="1" customHeight="1"/>
    <row r="30" ht="15" hidden="1" customHeight="1"/>
    <row r="31" ht="15" hidden="1" customHeight="1"/>
    <row r="32"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sheetData>
  <mergeCells count="2">
    <mergeCell ref="A1:D1"/>
    <mergeCell ref="A2:D2"/>
  </mergeCell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43"/>
  <sheetViews>
    <sheetView showGridLines="0" zoomScaleNormal="100" workbookViewId="0"/>
  </sheetViews>
  <sheetFormatPr defaultColWidth="0" defaultRowHeight="15"/>
  <cols>
    <col min="1" max="1" width="46" customWidth="1"/>
    <col min="2" max="2" width="10" customWidth="1"/>
    <col min="3" max="3" width="8" customWidth="1"/>
    <col min="4" max="4" width="7" customWidth="1"/>
    <col min="5" max="5" width="8" customWidth="1"/>
    <col min="6" max="6" width="9" customWidth="1"/>
    <col min="7" max="7" width="8" customWidth="1"/>
    <col min="8" max="8" width="10" customWidth="1"/>
    <col min="9" max="9" width="20" customWidth="1"/>
    <col min="10" max="16384" width="13" hidden="1"/>
  </cols>
  <sheetData>
    <row r="1" spans="1:10" ht="15" customHeight="1">
      <c r="A1" s="288" t="s">
        <v>805</v>
      </c>
    </row>
    <row r="3" spans="1:10" ht="15" customHeight="1">
      <c r="A3" s="182" t="s">
        <v>806</v>
      </c>
      <c r="B3" s="182" t="s">
        <v>17</v>
      </c>
      <c r="C3" s="182" t="s">
        <v>24</v>
      </c>
      <c r="D3" s="182" t="s">
        <v>807</v>
      </c>
      <c r="E3" s="182"/>
      <c r="F3" s="182"/>
      <c r="G3" s="182"/>
      <c r="H3" s="182"/>
      <c r="I3" s="182" t="s">
        <v>808</v>
      </c>
      <c r="J3" s="182" t="s">
        <v>779</v>
      </c>
    </row>
    <row r="4" spans="1:10" ht="15" customHeight="1">
      <c r="A4" t="s">
        <v>738</v>
      </c>
      <c r="B4" t="s">
        <v>101</v>
      </c>
      <c r="C4">
        <f>COUNTIF('📋 May 2026'!$J$5:$J$60,"Amy")</f>
        <v>11</v>
      </c>
      <c r="D4">
        <f>COUNTIFS('📋 May 2026'!$J$5:$J$60,"Amy",'📋 May 2026'!$F$5:$F$60,"Yes")</f>
        <v>8</v>
      </c>
      <c r="I4" t="str">
        <f t="shared" ref="I4:I43" si="0">$A4&amp;"|"&amp;$B4</f>
        <v>📋 May 2026|Amy</v>
      </c>
      <c r="J4">
        <f>SUMIF('📋 May 2026'!$J$5:$J$60,"Amy",'📋 May 2026'!$V$5:$V$60)</f>
        <v>4251.74</v>
      </c>
    </row>
    <row r="5" spans="1:10" ht="15" customHeight="1">
      <c r="A5" t="s">
        <v>738</v>
      </c>
      <c r="B5" t="s">
        <v>129</v>
      </c>
      <c r="C5">
        <f>COUNTIF('📋 May 2026'!$J$5:$J$60,"Nelson")</f>
        <v>6</v>
      </c>
      <c r="D5">
        <f>COUNTIFS('📋 May 2026'!$J$5:$J$60,"Nelson",'📋 May 2026'!$F$5:$F$60,"Yes")</f>
        <v>4</v>
      </c>
      <c r="I5" t="str">
        <f t="shared" si="0"/>
        <v>📋 May 2026|Nelson</v>
      </c>
      <c r="J5">
        <f>SUMIF('📋 May 2026'!$J$5:$J$60,"Nelson",'📋 May 2026'!$V$5:$V$60)</f>
        <v>18150</v>
      </c>
    </row>
    <row r="6" spans="1:10" ht="15" customHeight="1">
      <c r="A6" t="s">
        <v>738</v>
      </c>
      <c r="B6" t="s">
        <v>107</v>
      </c>
      <c r="C6">
        <f>COUNTIF('📋 May 2026'!$J$5:$J$60,"Matthew")</f>
        <v>6</v>
      </c>
      <c r="D6">
        <f>COUNTIFS('📋 May 2026'!$J$5:$J$60,"Matthew",'📋 May 2026'!$F$5:$F$60,"Yes")</f>
        <v>0</v>
      </c>
      <c r="I6" t="str">
        <f t="shared" si="0"/>
        <v>📋 May 2026|Matthew</v>
      </c>
      <c r="J6">
        <f>SUMIF('📋 May 2026'!$J$5:$J$60,"Matthew",'📋 May 2026'!$V$5:$V$60)</f>
        <v>4000</v>
      </c>
    </row>
    <row r="7" spans="1:10" ht="15" customHeight="1">
      <c r="A7" t="s">
        <v>738</v>
      </c>
      <c r="B7" t="s">
        <v>252</v>
      </c>
      <c r="C7">
        <f>COUNTIF('📋 May 2026'!$J$5:$J$60,"Amos")</f>
        <v>5</v>
      </c>
      <c r="D7">
        <f>COUNTIFS('📋 May 2026'!$J$5:$J$60,"Amos",'📋 May 2026'!$F$5:$F$60,"Yes")</f>
        <v>2</v>
      </c>
      <c r="I7" t="str">
        <f t="shared" si="0"/>
        <v>📋 May 2026|Amos</v>
      </c>
      <c r="J7">
        <f>SUMIF('📋 May 2026'!$J$5:$J$60,"Amos",'📋 May 2026'!$V$5:$V$60)</f>
        <v>1500</v>
      </c>
    </row>
    <row r="8" spans="1:10" ht="15" customHeight="1">
      <c r="A8" t="s">
        <v>738</v>
      </c>
      <c r="B8" t="s">
        <v>135</v>
      </c>
      <c r="C8">
        <f>COUNTIF('📋 May 2026'!$J$5:$J$60,"Ahbra")</f>
        <v>0</v>
      </c>
      <c r="D8">
        <f>COUNTIFS('📋 May 2026'!$J$5:$J$60,"Ahbra",'📋 May 2026'!$F$5:$F$60,"Yes")</f>
        <v>0</v>
      </c>
      <c r="I8" t="str">
        <f t="shared" si="0"/>
        <v>📋 May 2026|Ahbra</v>
      </c>
      <c r="J8">
        <f>SUMIF('📋 May 2026'!$J$5:$J$60,"Ahbra",'📋 May 2026'!$V$5:$V$60)</f>
        <v>0</v>
      </c>
    </row>
    <row r="9" spans="1:10" ht="15" customHeight="1">
      <c r="A9" t="s">
        <v>744</v>
      </c>
      <c r="B9" t="s">
        <v>101</v>
      </c>
      <c r="C9">
        <f>COUNTIF('📋 Jun 2026'!$J$5:$J$60,"Amy")</f>
        <v>5</v>
      </c>
      <c r="D9">
        <f>COUNTIFS('📋 Jun 2026'!$J$5:$J$60,"Amy",'📋 Jun 2026'!$F$5:$F$60,"Yes")</f>
        <v>5</v>
      </c>
      <c r="I9" t="str">
        <f t="shared" si="0"/>
        <v>📋 Jun 2026|Amy</v>
      </c>
      <c r="J9">
        <f>SUMIF('📋 Jun 2026'!$AF$5:$AF$60,"Amy",'📋 Jun 2026'!$V$5:$V$60)</f>
        <v>0</v>
      </c>
    </row>
    <row r="10" spans="1:10" ht="15" customHeight="1">
      <c r="A10" t="s">
        <v>744</v>
      </c>
      <c r="B10" t="s">
        <v>129</v>
      </c>
      <c r="C10">
        <f>COUNTIF('📋 Jun 2026'!$J$5:$J$60,"Nelson")</f>
        <v>2</v>
      </c>
      <c r="D10">
        <f>COUNTIFS('📋 Jun 2026'!$J$5:$J$60,"Nelson",'📋 Jun 2026'!$F$5:$F$60,"Yes")</f>
        <v>2</v>
      </c>
      <c r="I10" t="str">
        <f t="shared" si="0"/>
        <v>📋 Jun 2026|Nelson</v>
      </c>
      <c r="J10">
        <f>SUMIF('📋 Jun 2026'!$AF$5:$AF$60,"Nelson",'📋 Jun 2026'!$V$5:$V$60)</f>
        <v>0</v>
      </c>
    </row>
    <row r="11" spans="1:10" ht="15" customHeight="1">
      <c r="A11" t="s">
        <v>744</v>
      </c>
      <c r="B11" t="s">
        <v>107</v>
      </c>
      <c r="C11">
        <f>COUNTIF('📋 Jun 2026'!$J$5:$J$60,"Matthew")</f>
        <v>4</v>
      </c>
      <c r="D11">
        <f>COUNTIFS('📋 Jun 2026'!$J$5:$J$60,"Matthew",'📋 Jun 2026'!$F$5:$F$60,"Yes")</f>
        <v>1</v>
      </c>
      <c r="I11" t="str">
        <f t="shared" si="0"/>
        <v>📋 Jun 2026|Matthew</v>
      </c>
      <c r="J11">
        <f>SUMIF('📋 Jun 2026'!$AF$5:$AF$60,"Matthew",'📋 Jun 2026'!$V$5:$V$60)</f>
        <v>0</v>
      </c>
    </row>
    <row r="12" spans="1:10" ht="15" customHeight="1">
      <c r="A12" t="s">
        <v>744</v>
      </c>
      <c r="B12" t="s">
        <v>252</v>
      </c>
      <c r="C12">
        <f>COUNTIF('📋 Jun 2026'!$J$5:$J$60,"Amos")</f>
        <v>0</v>
      </c>
      <c r="D12">
        <f>COUNTIFS('📋 Jun 2026'!$J$5:$J$60,"Amos",'📋 Jun 2026'!$F$5:$F$60,"Yes")</f>
        <v>0</v>
      </c>
      <c r="I12" t="str">
        <f t="shared" si="0"/>
        <v>📋 Jun 2026|Amos</v>
      </c>
      <c r="J12">
        <f>SUMIF('📋 Jun 2026'!$AF$5:$AF$60,"Amos",'📋 Jun 2026'!$V$5:$V$60)</f>
        <v>0</v>
      </c>
    </row>
    <row r="13" spans="1:10" ht="15" customHeight="1">
      <c r="A13" t="s">
        <v>744</v>
      </c>
      <c r="B13" t="s">
        <v>135</v>
      </c>
      <c r="C13">
        <f>COUNTIF('📋 Jun 2026'!$J$5:$J$60,"Ahbra")</f>
        <v>2</v>
      </c>
      <c r="D13">
        <f>COUNTIFS('📋 Jun 2026'!$J$5:$J$60,"Ahbra",'📋 Jun 2026'!$F$5:$F$60,"Yes")</f>
        <v>1</v>
      </c>
      <c r="I13" t="str">
        <f t="shared" si="0"/>
        <v>📋 Jun 2026|Ahbra</v>
      </c>
      <c r="J13">
        <f>SUMIF('📋 Jun 2026'!$AF$5:$AF$60,"Ahbra",'📋 Jun 2026'!$V$5:$V$60)</f>
        <v>0</v>
      </c>
    </row>
    <row r="14" spans="1:10" ht="15" customHeight="1">
      <c r="A14" t="s">
        <v>751</v>
      </c>
      <c r="B14" t="s">
        <v>101</v>
      </c>
      <c r="C14">
        <f>COUNTIF('📋 Jul 2026'!$J$5:$J$60,"Amy")</f>
        <v>0</v>
      </c>
      <c r="D14">
        <f>COUNTIFS('📋 Jul 2026'!$J$5:$J$60,"Amy",'📋 Jul 2026'!$F$5:$F$60,"Yes")</f>
        <v>0</v>
      </c>
      <c r="I14" t="str">
        <f t="shared" si="0"/>
        <v>📋 Jul 2026|Amy</v>
      </c>
      <c r="J14">
        <f>SUMIF('📋 Jul 2026'!$AF$5:$AF$60,"Amy",'📋 Jul 2026'!$V$5:$V$60)</f>
        <v>0</v>
      </c>
    </row>
    <row r="15" spans="1:10" ht="15" customHeight="1">
      <c r="A15" t="s">
        <v>751</v>
      </c>
      <c r="B15" t="s">
        <v>129</v>
      </c>
      <c r="C15">
        <f>COUNTIF('📋 Jul 2026'!$J$5:$J$60,"Nelson")</f>
        <v>0</v>
      </c>
      <c r="D15">
        <f>COUNTIFS('📋 Jul 2026'!$J$5:$J$60,"Nelson",'📋 Jul 2026'!$F$5:$F$60,"Yes")</f>
        <v>0</v>
      </c>
      <c r="I15" t="str">
        <f t="shared" si="0"/>
        <v>📋 Jul 2026|Nelson</v>
      </c>
      <c r="J15">
        <f>SUMIF('📋 Jul 2026'!$AF$5:$AF$60,"Nelson",'📋 Jul 2026'!$V$5:$V$60)</f>
        <v>0</v>
      </c>
    </row>
    <row r="16" spans="1:10" ht="15" customHeight="1">
      <c r="A16" t="s">
        <v>751</v>
      </c>
      <c r="B16" t="s">
        <v>107</v>
      </c>
      <c r="C16">
        <f>COUNTIF('📋 Jul 2026'!$J$5:$J$60,"Matthew")</f>
        <v>0</v>
      </c>
      <c r="D16">
        <f>COUNTIFS('📋 Jul 2026'!$J$5:$J$60,"Matthew",'📋 Jul 2026'!$F$5:$F$60,"Yes")</f>
        <v>0</v>
      </c>
      <c r="I16" t="str">
        <f t="shared" si="0"/>
        <v>📋 Jul 2026|Matthew</v>
      </c>
      <c r="J16">
        <f>SUMIF('📋 Jul 2026'!$AF$5:$AF$60,"Matthew",'📋 Jul 2026'!$V$5:$V$60)</f>
        <v>0</v>
      </c>
    </row>
    <row r="17" spans="1:10" ht="15" customHeight="1">
      <c r="A17" t="s">
        <v>751</v>
      </c>
      <c r="B17" t="s">
        <v>252</v>
      </c>
      <c r="C17">
        <f>COUNTIF('📋 Jul 2026'!$J$5:$J$60,"Amos")</f>
        <v>0</v>
      </c>
      <c r="D17">
        <f>COUNTIFS('📋 Jul 2026'!$J$5:$J$60,"Amos",'📋 Jul 2026'!$F$5:$F$60,"Yes")</f>
        <v>0</v>
      </c>
      <c r="I17" t="str">
        <f t="shared" si="0"/>
        <v>📋 Jul 2026|Amos</v>
      </c>
      <c r="J17">
        <f>SUMIF('📋 Jul 2026'!$AF$5:$AF$60,"Amos",'📋 Jul 2026'!$V$5:$V$60)</f>
        <v>0</v>
      </c>
    </row>
    <row r="18" spans="1:10" ht="15" customHeight="1">
      <c r="A18" t="s">
        <v>751</v>
      </c>
      <c r="B18" t="s">
        <v>135</v>
      </c>
      <c r="C18">
        <f>COUNTIF('📋 Jul 2026'!$J$5:$J$60,"Ahbra")</f>
        <v>0</v>
      </c>
      <c r="D18">
        <f>COUNTIFS('📋 Jul 2026'!$J$5:$J$60,"Ahbra",'📋 Jul 2026'!$F$5:$F$60,"Yes")</f>
        <v>0</v>
      </c>
      <c r="I18" t="str">
        <f t="shared" si="0"/>
        <v>📋 Jul 2026|Ahbra</v>
      </c>
      <c r="J18">
        <f>SUMIF('📋 Jul 2026'!$AF$5:$AF$60,"Ahbra",'📋 Jul 2026'!$V$5:$V$60)</f>
        <v>0</v>
      </c>
    </row>
    <row r="19" spans="1:10" ht="15" customHeight="1">
      <c r="A19" t="s">
        <v>757</v>
      </c>
      <c r="B19" t="s">
        <v>101</v>
      </c>
      <c r="C19">
        <f>COUNTIF('📋 Aug 2026'!$J$5:$J$60,"Amy")</f>
        <v>0</v>
      </c>
      <c r="D19">
        <f>COUNTIFS('📋 Aug 2026'!$J$5:$J$60,"Amy",'📋 Aug 2026'!$F$5:$F$60,"Yes")</f>
        <v>0</v>
      </c>
      <c r="I19" t="str">
        <f t="shared" si="0"/>
        <v>📋 Aug 2026|Amy</v>
      </c>
      <c r="J19">
        <f>SUMIF('📋 Aug 2026'!$AF$5:$AF$60,"Amy",'📋 Aug 2026'!$V$5:$V$60)</f>
        <v>0</v>
      </c>
    </row>
    <row r="20" spans="1:10" ht="15" customHeight="1">
      <c r="A20" t="s">
        <v>757</v>
      </c>
      <c r="B20" t="s">
        <v>129</v>
      </c>
      <c r="C20">
        <f>COUNTIF('📋 Aug 2026'!$J$5:$J$60,"Nelson")</f>
        <v>0</v>
      </c>
      <c r="D20">
        <f>COUNTIFS('📋 Aug 2026'!$J$5:$J$60,"Nelson",'📋 Aug 2026'!$F$5:$F$60,"Yes")</f>
        <v>0</v>
      </c>
      <c r="I20" t="str">
        <f t="shared" si="0"/>
        <v>📋 Aug 2026|Nelson</v>
      </c>
      <c r="J20">
        <f>SUMIF('📋 Aug 2026'!$AF$5:$AF$60,"Nelson",'📋 Aug 2026'!$V$5:$V$60)</f>
        <v>0</v>
      </c>
    </row>
    <row r="21" spans="1:10" ht="15" customHeight="1">
      <c r="A21" t="s">
        <v>757</v>
      </c>
      <c r="B21" t="s">
        <v>107</v>
      </c>
      <c r="C21">
        <f>COUNTIF('📋 Aug 2026'!$J$5:$J$60,"Matthew")</f>
        <v>0</v>
      </c>
      <c r="D21">
        <f>COUNTIFS('📋 Aug 2026'!$J$5:$J$60,"Matthew",'📋 Aug 2026'!$F$5:$F$60,"Yes")</f>
        <v>0</v>
      </c>
      <c r="I21" t="str">
        <f t="shared" si="0"/>
        <v>📋 Aug 2026|Matthew</v>
      </c>
      <c r="J21">
        <f>SUMIF('📋 Aug 2026'!$AF$5:$AF$60,"Matthew",'📋 Aug 2026'!$V$5:$V$60)</f>
        <v>0</v>
      </c>
    </row>
    <row r="22" spans="1:10" ht="15" customHeight="1">
      <c r="A22" t="s">
        <v>757</v>
      </c>
      <c r="B22" t="s">
        <v>252</v>
      </c>
      <c r="C22">
        <f>COUNTIF('📋 Aug 2026'!$J$5:$J$60,"Amos")</f>
        <v>0</v>
      </c>
      <c r="D22">
        <f>COUNTIFS('📋 Aug 2026'!$J$5:$J$60,"Amos",'📋 Aug 2026'!$F$5:$F$60,"Yes")</f>
        <v>0</v>
      </c>
      <c r="I22" t="str">
        <f t="shared" si="0"/>
        <v>📋 Aug 2026|Amos</v>
      </c>
      <c r="J22">
        <f>SUMIF('📋 Aug 2026'!$AF$5:$AF$60,"Amos",'📋 Aug 2026'!$V$5:$V$60)</f>
        <v>0</v>
      </c>
    </row>
    <row r="23" spans="1:10" ht="15" customHeight="1">
      <c r="A23" t="s">
        <v>757</v>
      </c>
      <c r="B23" t="s">
        <v>135</v>
      </c>
      <c r="C23">
        <f>COUNTIF('📋 Aug 2026'!$J$5:$J$60,"Ahbra")</f>
        <v>0</v>
      </c>
      <c r="D23">
        <f>COUNTIFS('📋 Aug 2026'!$J$5:$J$60,"Ahbra",'📋 Aug 2026'!$F$5:$F$60,"Yes")</f>
        <v>0</v>
      </c>
      <c r="I23" t="str">
        <f t="shared" si="0"/>
        <v>📋 Aug 2026|Ahbra</v>
      </c>
      <c r="J23">
        <f>SUMIF('📋 Aug 2026'!$AF$5:$AF$60,"Ahbra",'📋 Aug 2026'!$V$5:$V$60)</f>
        <v>0</v>
      </c>
    </row>
    <row r="24" spans="1:10" ht="15" customHeight="1">
      <c r="A24" t="s">
        <v>763</v>
      </c>
      <c r="B24" t="s">
        <v>101</v>
      </c>
      <c r="C24">
        <f>COUNTIF('📋 Sep 2026'!$J$5:$J$60,"Amy")</f>
        <v>0</v>
      </c>
      <c r="D24">
        <f>COUNTIFS('📋 Sep 2026'!$J$5:$J$60,"Amy",'📋 Sep 2026'!$F$5:$F$60,"Yes")</f>
        <v>0</v>
      </c>
      <c r="I24" t="str">
        <f t="shared" si="0"/>
        <v>📋 Sep 2026|Amy</v>
      </c>
      <c r="J24">
        <f>SUMIF('📋 Sep 2026'!$AF$5:$AF$60,"Amy",'📋 Sep 2026'!$V$5:$V$60)</f>
        <v>0</v>
      </c>
    </row>
    <row r="25" spans="1:10" ht="15" customHeight="1">
      <c r="A25" t="s">
        <v>763</v>
      </c>
      <c r="B25" t="s">
        <v>129</v>
      </c>
      <c r="C25">
        <f>COUNTIF('📋 Sep 2026'!$J$5:$J$60,"Nelson")</f>
        <v>0</v>
      </c>
      <c r="D25">
        <f>COUNTIFS('📋 Sep 2026'!$J$5:$J$60,"Nelson",'📋 Sep 2026'!$F$5:$F$60,"Yes")</f>
        <v>0</v>
      </c>
      <c r="I25" t="str">
        <f t="shared" si="0"/>
        <v>📋 Sep 2026|Nelson</v>
      </c>
      <c r="J25">
        <f>SUMIF('📋 Sep 2026'!$AF$5:$AF$60,"Nelson",'📋 Sep 2026'!$V$5:$V$60)</f>
        <v>0</v>
      </c>
    </row>
    <row r="26" spans="1:10" ht="15" customHeight="1">
      <c r="A26" t="s">
        <v>763</v>
      </c>
      <c r="B26" t="s">
        <v>107</v>
      </c>
      <c r="C26">
        <f>COUNTIF('📋 Sep 2026'!$J$5:$J$60,"Matthew")</f>
        <v>0</v>
      </c>
      <c r="D26">
        <f>COUNTIFS('📋 Sep 2026'!$J$5:$J$60,"Matthew",'📋 Sep 2026'!$F$5:$F$60,"Yes")</f>
        <v>0</v>
      </c>
      <c r="I26" t="str">
        <f t="shared" si="0"/>
        <v>📋 Sep 2026|Matthew</v>
      </c>
      <c r="J26">
        <f>SUMIF('📋 Sep 2026'!$AF$5:$AF$60,"Matthew",'📋 Sep 2026'!$V$5:$V$60)</f>
        <v>0</v>
      </c>
    </row>
    <row r="27" spans="1:10" ht="15" customHeight="1">
      <c r="A27" t="s">
        <v>763</v>
      </c>
      <c r="B27" t="s">
        <v>252</v>
      </c>
      <c r="C27">
        <f>COUNTIF('📋 Sep 2026'!$J$5:$J$60,"Amos")</f>
        <v>0</v>
      </c>
      <c r="D27">
        <f>COUNTIFS('📋 Sep 2026'!$J$5:$J$60,"Amos",'📋 Sep 2026'!$F$5:$F$60,"Yes")</f>
        <v>0</v>
      </c>
      <c r="I27" t="str">
        <f t="shared" si="0"/>
        <v>📋 Sep 2026|Amos</v>
      </c>
      <c r="J27">
        <f>SUMIF('📋 Sep 2026'!$AF$5:$AF$60,"Amos",'📋 Sep 2026'!$V$5:$V$60)</f>
        <v>0</v>
      </c>
    </row>
    <row r="28" spans="1:10" ht="15" customHeight="1">
      <c r="A28" t="s">
        <v>763</v>
      </c>
      <c r="B28" t="s">
        <v>135</v>
      </c>
      <c r="C28">
        <f>COUNTIF('📋 Sep 2026'!$J$5:$J$60,"Ahbra")</f>
        <v>0</v>
      </c>
      <c r="D28">
        <f>COUNTIFS('📋 Sep 2026'!$J$5:$J$60,"Ahbra",'📋 Sep 2026'!$F$5:$F$60,"Yes")</f>
        <v>0</v>
      </c>
      <c r="I28" t="str">
        <f t="shared" si="0"/>
        <v>📋 Sep 2026|Ahbra</v>
      </c>
      <c r="J28">
        <f>SUMIF('📋 Sep 2026'!$AF$5:$AF$60,"Ahbra",'📋 Sep 2026'!$V$5:$V$60)</f>
        <v>0</v>
      </c>
    </row>
    <row r="29" spans="1:10" ht="15" customHeight="1">
      <c r="A29" t="s">
        <v>773</v>
      </c>
      <c r="B29" t="s">
        <v>101</v>
      </c>
      <c r="C29">
        <f>COUNTIF('📋 Oct 2026'!$J$5:$J$60,"Amy")</f>
        <v>0</v>
      </c>
      <c r="D29">
        <f>COUNTIFS('📋 Oct 2026'!$J$5:$J$60,"Amy",'📋 Oct 2026'!$F$5:$F$60,"Yes")</f>
        <v>0</v>
      </c>
      <c r="I29" t="str">
        <f t="shared" si="0"/>
        <v>📋 Oct 2026|Amy</v>
      </c>
      <c r="J29">
        <f>SUMIF('📋 Oct 2026'!$AF$5:$AF$60,"Amy",'📋 Oct 2026'!$V$5:$V$60)</f>
        <v>0</v>
      </c>
    </row>
    <row r="30" spans="1:10" ht="15" customHeight="1">
      <c r="A30" t="s">
        <v>773</v>
      </c>
      <c r="B30" t="s">
        <v>129</v>
      </c>
      <c r="C30">
        <f>COUNTIF('📋 Oct 2026'!$J$5:$J$60,"Nelson")</f>
        <v>0</v>
      </c>
      <c r="D30">
        <f>COUNTIFS('📋 Oct 2026'!$J$5:$J$60,"Nelson",'📋 Oct 2026'!$F$5:$F$60,"Yes")</f>
        <v>0</v>
      </c>
      <c r="I30" t="str">
        <f t="shared" si="0"/>
        <v>📋 Oct 2026|Nelson</v>
      </c>
      <c r="J30">
        <f>SUMIF('📋 Oct 2026'!$AF$5:$AF$60,"Nelson",'📋 Oct 2026'!$V$5:$V$60)</f>
        <v>0</v>
      </c>
    </row>
    <row r="31" spans="1:10" ht="15" customHeight="1">
      <c r="A31" t="s">
        <v>773</v>
      </c>
      <c r="B31" t="s">
        <v>107</v>
      </c>
      <c r="C31">
        <f>COUNTIF('📋 Oct 2026'!$J$5:$J$60,"Matthew")</f>
        <v>0</v>
      </c>
      <c r="D31">
        <f>COUNTIFS('📋 Oct 2026'!$J$5:$J$60,"Matthew",'📋 Oct 2026'!$F$5:$F$60,"Yes")</f>
        <v>0</v>
      </c>
      <c r="I31" t="str">
        <f t="shared" si="0"/>
        <v>📋 Oct 2026|Matthew</v>
      </c>
      <c r="J31">
        <f>SUMIF('📋 Oct 2026'!$AF$5:$AF$60,"Matthew",'📋 Oct 2026'!$V$5:$V$60)</f>
        <v>0</v>
      </c>
    </row>
    <row r="32" spans="1:10" ht="15" customHeight="1">
      <c r="A32" t="s">
        <v>773</v>
      </c>
      <c r="B32" t="s">
        <v>252</v>
      </c>
      <c r="C32">
        <f>COUNTIF('📋 Oct 2026'!$J$5:$J$60,"Amos")</f>
        <v>0</v>
      </c>
      <c r="D32">
        <f>COUNTIFS('📋 Oct 2026'!$J$5:$J$60,"Amos",'📋 Oct 2026'!$F$5:$F$60,"Yes")</f>
        <v>0</v>
      </c>
      <c r="I32" t="str">
        <f t="shared" si="0"/>
        <v>📋 Oct 2026|Amos</v>
      </c>
      <c r="J32">
        <f>SUMIF('📋 Oct 2026'!$AF$5:$AF$60,"Amos",'📋 Oct 2026'!$V$5:$V$60)</f>
        <v>0</v>
      </c>
    </row>
    <row r="33" spans="1:10" ht="15" customHeight="1">
      <c r="A33" t="s">
        <v>773</v>
      </c>
      <c r="B33" t="s">
        <v>135</v>
      </c>
      <c r="C33">
        <f>COUNTIF('📋 Oct 2026'!$J$5:$J$60,"Ahbra")</f>
        <v>0</v>
      </c>
      <c r="D33">
        <f>COUNTIFS('📋 Oct 2026'!$J$5:$J$60,"Ahbra",'📋 Oct 2026'!$F$5:$F$60,"Yes")</f>
        <v>0</v>
      </c>
      <c r="I33" t="str">
        <f t="shared" si="0"/>
        <v>📋 Oct 2026|Ahbra</v>
      </c>
      <c r="J33">
        <f>SUMIF('📋 Oct 2026'!$AF$5:$AF$60,"Ahbra",'📋 Oct 2026'!$V$5:$V$60)</f>
        <v>0</v>
      </c>
    </row>
    <row r="34" spans="1:10" ht="15" customHeight="1">
      <c r="A34" t="s">
        <v>777</v>
      </c>
      <c r="B34" t="s">
        <v>101</v>
      </c>
      <c r="C34">
        <f>COUNTIF('📋 Nov 2026'!$J$5:$J$60,"Amy")</f>
        <v>0</v>
      </c>
      <c r="D34">
        <f>COUNTIFS('📋 Nov 2026'!$J$5:$J$60,"Amy",'📋 Nov 2026'!$F$5:$F$60,"Yes")</f>
        <v>0</v>
      </c>
      <c r="I34" t="str">
        <f t="shared" si="0"/>
        <v>📋 Nov 2026|Amy</v>
      </c>
      <c r="J34">
        <f>SUMIF('📋 Nov 2026'!$AF$5:$AF$60,"Amy",'📋 Nov 2026'!$V$5:$V$60)</f>
        <v>0</v>
      </c>
    </row>
    <row r="35" spans="1:10" ht="15" customHeight="1">
      <c r="A35" t="s">
        <v>777</v>
      </c>
      <c r="B35" t="s">
        <v>129</v>
      </c>
      <c r="C35">
        <f>COUNTIF('📋 Nov 2026'!$J$5:$J$60,"Nelson")</f>
        <v>0</v>
      </c>
      <c r="D35">
        <f>COUNTIFS('📋 Nov 2026'!$J$5:$J$60,"Nelson",'📋 Nov 2026'!$F$5:$F$60,"Yes")</f>
        <v>0</v>
      </c>
      <c r="I35" t="str">
        <f t="shared" si="0"/>
        <v>📋 Nov 2026|Nelson</v>
      </c>
      <c r="J35">
        <f>SUMIF('📋 Nov 2026'!$AF$5:$AF$60,"Nelson",'📋 Nov 2026'!$V$5:$V$60)</f>
        <v>0</v>
      </c>
    </row>
    <row r="36" spans="1:10" ht="15" customHeight="1">
      <c r="A36" t="s">
        <v>777</v>
      </c>
      <c r="B36" t="s">
        <v>107</v>
      </c>
      <c r="C36">
        <f>COUNTIF('📋 Nov 2026'!$J$5:$J$60,"Matthew")</f>
        <v>0</v>
      </c>
      <c r="D36">
        <f>COUNTIFS('📋 Nov 2026'!$J$5:$J$60,"Matthew",'📋 Nov 2026'!$F$5:$F$60,"Yes")</f>
        <v>0</v>
      </c>
      <c r="I36" t="str">
        <f t="shared" si="0"/>
        <v>📋 Nov 2026|Matthew</v>
      </c>
      <c r="J36">
        <f>SUMIF('📋 Nov 2026'!$AF$5:$AF$60,"Matthew",'📋 Nov 2026'!$V$5:$V$60)</f>
        <v>0</v>
      </c>
    </row>
    <row r="37" spans="1:10" ht="15" customHeight="1">
      <c r="A37" t="s">
        <v>777</v>
      </c>
      <c r="B37" t="s">
        <v>252</v>
      </c>
      <c r="C37">
        <f>COUNTIF('📋 Nov 2026'!$J$5:$J$60,"Amos")</f>
        <v>0</v>
      </c>
      <c r="D37">
        <f>COUNTIFS('📋 Nov 2026'!$J$5:$J$60,"Amos",'📋 Nov 2026'!$F$5:$F$60,"Yes")</f>
        <v>0</v>
      </c>
      <c r="I37" t="str">
        <f t="shared" si="0"/>
        <v>📋 Nov 2026|Amos</v>
      </c>
      <c r="J37">
        <f>SUMIF('📋 Nov 2026'!$AF$5:$AF$60,"Amos",'📋 Nov 2026'!$V$5:$V$60)</f>
        <v>0</v>
      </c>
    </row>
    <row r="38" spans="1:10" ht="15" customHeight="1">
      <c r="A38" t="s">
        <v>777</v>
      </c>
      <c r="B38" t="s">
        <v>135</v>
      </c>
      <c r="C38">
        <f>COUNTIF('📋 Nov 2026'!$J$5:$J$60,"Ahbra")</f>
        <v>0</v>
      </c>
      <c r="D38">
        <f>COUNTIFS('📋 Nov 2026'!$J$5:$J$60,"Ahbra",'📋 Nov 2026'!$F$5:$F$60,"Yes")</f>
        <v>0</v>
      </c>
      <c r="I38" t="str">
        <f t="shared" si="0"/>
        <v>📋 Nov 2026|Ahbra</v>
      </c>
      <c r="J38">
        <f>SUMIF('📋 Nov 2026'!$AF$5:$AF$60,"Ahbra",'📋 Nov 2026'!$V$5:$V$60)</f>
        <v>0</v>
      </c>
    </row>
    <row r="39" spans="1:10" ht="15" customHeight="1">
      <c r="A39" t="s">
        <v>782</v>
      </c>
      <c r="B39" t="s">
        <v>101</v>
      </c>
      <c r="C39">
        <f>COUNTIF('📋 Dec 2026'!$J$5:$J$60,"Amy")</f>
        <v>0</v>
      </c>
      <c r="D39">
        <f>COUNTIFS('📋 Dec 2026'!$J$5:$J$60,"Amy",'📋 Dec 2026'!$F$5:$F$60,"Yes")</f>
        <v>0</v>
      </c>
      <c r="I39" t="str">
        <f t="shared" si="0"/>
        <v>📋 Dec 2026|Amy</v>
      </c>
      <c r="J39">
        <f>SUMIF('📋 Dec 2026'!$AF$5:$AF$60,"Amy",'📋 Dec 2026'!$V$5:$V$60)</f>
        <v>0</v>
      </c>
    </row>
    <row r="40" spans="1:10" ht="15" customHeight="1">
      <c r="A40" t="s">
        <v>782</v>
      </c>
      <c r="B40" t="s">
        <v>129</v>
      </c>
      <c r="C40">
        <f>COUNTIF('📋 Dec 2026'!$J$5:$J$60,"Nelson")</f>
        <v>0</v>
      </c>
      <c r="D40">
        <f>COUNTIFS('📋 Dec 2026'!$J$5:$J$60,"Nelson",'📋 Dec 2026'!$F$5:$F$60,"Yes")</f>
        <v>0</v>
      </c>
      <c r="I40" t="str">
        <f t="shared" si="0"/>
        <v>📋 Dec 2026|Nelson</v>
      </c>
      <c r="J40">
        <f>SUMIF('📋 Dec 2026'!$AF$5:$AF$60,"Nelson",'📋 Dec 2026'!$V$5:$V$60)</f>
        <v>0</v>
      </c>
    </row>
    <row r="41" spans="1:10" ht="15" customHeight="1">
      <c r="A41" t="s">
        <v>782</v>
      </c>
      <c r="B41" t="s">
        <v>107</v>
      </c>
      <c r="C41">
        <f>COUNTIF('📋 Dec 2026'!$J$5:$J$60,"Matthew")</f>
        <v>0</v>
      </c>
      <c r="D41">
        <f>COUNTIFS('📋 Dec 2026'!$J$5:$J$60,"Matthew",'📋 Dec 2026'!$F$5:$F$60,"Yes")</f>
        <v>0</v>
      </c>
      <c r="I41" t="str">
        <f t="shared" si="0"/>
        <v>📋 Dec 2026|Matthew</v>
      </c>
      <c r="J41">
        <f>SUMIF('📋 Dec 2026'!$AF$5:$AF$60,"Matthew",'📋 Dec 2026'!$V$5:$V$60)</f>
        <v>0</v>
      </c>
    </row>
    <row r="42" spans="1:10" ht="15" customHeight="1">
      <c r="A42" t="s">
        <v>782</v>
      </c>
      <c r="B42" t="s">
        <v>252</v>
      </c>
      <c r="C42">
        <f>COUNTIF('📋 Dec 2026'!$J$5:$J$60,"Amos")</f>
        <v>0</v>
      </c>
      <c r="D42">
        <f>COUNTIFS('📋 Dec 2026'!$J$5:$J$60,"Amos",'📋 Dec 2026'!$F$5:$F$60,"Yes")</f>
        <v>0</v>
      </c>
      <c r="I42" t="str">
        <f t="shared" si="0"/>
        <v>📋 Dec 2026|Amos</v>
      </c>
      <c r="J42">
        <f>SUMIF('📋 Dec 2026'!$AF$5:$AF$60,"Amos",'📋 Dec 2026'!$V$5:$V$60)</f>
        <v>0</v>
      </c>
    </row>
    <row r="43" spans="1:10" ht="15" customHeight="1">
      <c r="A43" t="s">
        <v>782</v>
      </c>
      <c r="B43" t="s">
        <v>135</v>
      </c>
      <c r="C43">
        <f>COUNTIF('📋 Dec 2026'!$J$5:$J$60,"Ahbra")</f>
        <v>0</v>
      </c>
      <c r="D43">
        <f>COUNTIFS('📋 Dec 2026'!$J$5:$J$60,"Ahbra",'📋 Dec 2026'!$F$5:$F$60,"Yes")</f>
        <v>0</v>
      </c>
      <c r="I43" t="str">
        <f t="shared" si="0"/>
        <v>📋 Dec 2026|Ahbra</v>
      </c>
      <c r="J43">
        <f>SUMIF('📋 Dec 2026'!$AF$5:$AF$60,"Ahbra",'📋 Dec 2026'!$V$5:$V$60)</f>
        <v>0</v>
      </c>
    </row>
    <row r="44" spans="1:10" ht="15" hidden="1" customHeight="1"/>
    <row r="45" spans="1:10" ht="15" hidden="1" customHeight="1"/>
    <row r="46" spans="1:10" ht="15" hidden="1" customHeight="1"/>
    <row r="47" spans="1:10" ht="15" hidden="1" customHeight="1"/>
    <row r="48" spans="1:10"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2026-05-26T06:38:21Z</dcterms:created>
  <dcterms:modified xsi:type="dcterms:W3CDTF">2026-06-17T19:53:45Z</dcterms:modified>
  <cp:category/>
  <cp:contentStatus/>
</cp:coreProperties>
</file>